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JOURNAL\Electrical and Computer Engineering (IJECE)\Data\"/>
    </mc:Choice>
  </mc:AlternateContent>
  <xr:revisionPtr revIDLastSave="0" documentId="13_ncr:1_{26057D04-256D-4786-AFD1-3BD2958F13A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EADME" sheetId="1" r:id="rId1"/>
    <sheet name="Data_Dictionary" sheetId="2" r:id="rId2"/>
    <sheet name="RGB_Descriptors" sheetId="3" r:id="rId3"/>
    <sheet name="UV_Texture" sheetId="4" r:id="rId4"/>
    <sheet name="Environment_Context" sheetId="5" r:id="rId5"/>
    <sheet name="Normalized_RGB" sheetId="6" r:id="rId6"/>
    <sheet name="Normalized_UV" sheetId="7" r:id="rId7"/>
    <sheet name="Spearman_Ranks" sheetId="8" r:id="rId8"/>
    <sheet name="Summary_RGB" sheetId="9" r:id="rId9"/>
    <sheet name="Summary_UV" sheetId="10" r:id="rId10"/>
    <sheet name="CrossModal_Spearman" sheetId="11" r:id="rId11"/>
    <sheet name="Quality_Checks" sheetId="12" r:id="rId12"/>
    <sheet name="Dashboard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2" l="1"/>
  <c r="E13" i="12" s="1"/>
  <c r="B12" i="12"/>
  <c r="E12" i="12" s="1"/>
  <c r="B11" i="12"/>
  <c r="E11" i="12" s="1"/>
  <c r="B10" i="12"/>
  <c r="E10" i="12" s="1"/>
  <c r="B9" i="12"/>
  <c r="E9" i="12" s="1"/>
  <c r="B8" i="12"/>
  <c r="E8" i="12" s="1"/>
  <c r="B7" i="12"/>
  <c r="E7" i="12" s="1"/>
  <c r="B6" i="12"/>
  <c r="E6" i="12" s="1"/>
  <c r="B5" i="12"/>
  <c r="E5" i="12" s="1"/>
  <c r="B4" i="12"/>
  <c r="E4" i="12" s="1"/>
  <c r="F9" i="11"/>
  <c r="E9" i="11"/>
  <c r="D9" i="11"/>
  <c r="C9" i="11"/>
  <c r="B9" i="11"/>
  <c r="F8" i="11"/>
  <c r="E8" i="11"/>
  <c r="D8" i="11"/>
  <c r="C8" i="11"/>
  <c r="B8" i="11"/>
  <c r="F7" i="11"/>
  <c r="E7" i="11"/>
  <c r="D7" i="11"/>
  <c r="C7" i="11"/>
  <c r="C8" i="10"/>
  <c r="D8" i="10" s="1"/>
  <c r="B8" i="10"/>
  <c r="C7" i="10"/>
  <c r="D7" i="10" s="1"/>
  <c r="B7" i="10"/>
  <c r="C6" i="10"/>
  <c r="D6" i="10" s="1"/>
  <c r="B6" i="10"/>
  <c r="C5" i="10"/>
  <c r="D5" i="10" s="1"/>
  <c r="B5" i="10"/>
  <c r="C4" i="10"/>
  <c r="D4" i="10" s="1"/>
  <c r="B4" i="10"/>
  <c r="C11" i="9"/>
  <c r="D11" i="9" s="1"/>
  <c r="B11" i="9"/>
  <c r="C10" i="9"/>
  <c r="D10" i="9" s="1"/>
  <c r="B10" i="9"/>
  <c r="C9" i="9"/>
  <c r="D9" i="9" s="1"/>
  <c r="B9" i="9"/>
  <c r="C8" i="9"/>
  <c r="D8" i="9" s="1"/>
  <c r="B8" i="9"/>
  <c r="C7" i="9"/>
  <c r="D7" i="9" s="1"/>
  <c r="B7" i="9"/>
  <c r="C6" i="9"/>
  <c r="D6" i="9" s="1"/>
  <c r="B6" i="9"/>
  <c r="C5" i="9"/>
  <c r="D5" i="9" s="1"/>
  <c r="B5" i="9"/>
  <c r="C4" i="9"/>
  <c r="D4" i="9" s="1"/>
  <c r="B4" i="9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N9" i="8"/>
  <c r="M9" i="8"/>
  <c r="L9" i="8"/>
  <c r="K9" i="8"/>
  <c r="J9" i="8"/>
  <c r="I9" i="8"/>
  <c r="H9" i="8"/>
  <c r="G9" i="8"/>
  <c r="F9" i="8"/>
  <c r="E9" i="8"/>
  <c r="D9" i="8"/>
  <c r="C9" i="8"/>
  <c r="B9" i="8"/>
  <c r="N8" i="8"/>
  <c r="M8" i="8"/>
  <c r="L8" i="8"/>
  <c r="K8" i="8"/>
  <c r="J8" i="8"/>
  <c r="I8" i="8"/>
  <c r="H8" i="8"/>
  <c r="G8" i="8"/>
  <c r="F8" i="8"/>
  <c r="E8" i="8"/>
  <c r="D8" i="8"/>
  <c r="C8" i="8"/>
  <c r="B8" i="8"/>
  <c r="N7" i="8"/>
  <c r="M7" i="8"/>
  <c r="L7" i="8"/>
  <c r="K7" i="8"/>
  <c r="J7" i="8"/>
  <c r="I7" i="8"/>
  <c r="H7" i="8"/>
  <c r="G7" i="8"/>
  <c r="F7" i="8"/>
  <c r="E7" i="8"/>
  <c r="D7" i="8"/>
  <c r="C7" i="8"/>
  <c r="B7" i="8"/>
  <c r="N6" i="8"/>
  <c r="M6" i="8"/>
  <c r="L6" i="8"/>
  <c r="K6" i="8"/>
  <c r="J6" i="8"/>
  <c r="I6" i="8"/>
  <c r="H6" i="8"/>
  <c r="G6" i="8"/>
  <c r="F6" i="8"/>
  <c r="E6" i="8"/>
  <c r="D6" i="8"/>
  <c r="C6" i="8"/>
  <c r="B6" i="8"/>
  <c r="N5" i="8"/>
  <c r="M5" i="8"/>
  <c r="L5" i="8"/>
  <c r="K5" i="8"/>
  <c r="J5" i="8"/>
  <c r="I5" i="8"/>
  <c r="H5" i="8"/>
  <c r="G5" i="8"/>
  <c r="F5" i="8"/>
  <c r="E5" i="8"/>
  <c r="D5" i="8"/>
  <c r="C5" i="8"/>
  <c r="B5" i="8"/>
  <c r="N4" i="8"/>
  <c r="E8" i="10" s="1"/>
  <c r="G8" i="10" s="1"/>
  <c r="M4" i="8"/>
  <c r="E7" i="10" s="1"/>
  <c r="G7" i="10" s="1"/>
  <c r="L4" i="8"/>
  <c r="E6" i="10" s="1"/>
  <c r="G6" i="10" s="1"/>
  <c r="K4" i="8"/>
  <c r="E5" i="10" s="1"/>
  <c r="G5" i="10" s="1"/>
  <c r="J4" i="8"/>
  <c r="E4" i="10" s="1"/>
  <c r="G4" i="10" s="1"/>
  <c r="I4" i="8"/>
  <c r="H4" i="8"/>
  <c r="E10" i="9" s="1"/>
  <c r="G10" i="9" s="1"/>
  <c r="G4" i="8"/>
  <c r="E9" i="9" s="1"/>
  <c r="G9" i="9" s="1"/>
  <c r="F4" i="8"/>
  <c r="E8" i="9" s="1"/>
  <c r="G8" i="9" s="1"/>
  <c r="E4" i="8"/>
  <c r="D4" i="8"/>
  <c r="C4" i="8"/>
  <c r="B4" i="8"/>
  <c r="F21" i="7"/>
  <c r="E21" i="7"/>
  <c r="D21" i="7"/>
  <c r="C21" i="7"/>
  <c r="B21" i="7"/>
  <c r="A21" i="7"/>
  <c r="F20" i="7"/>
  <c r="E20" i="7"/>
  <c r="D20" i="7"/>
  <c r="C20" i="7"/>
  <c r="B20" i="7"/>
  <c r="A20" i="7"/>
  <c r="F19" i="7"/>
  <c r="E19" i="7"/>
  <c r="D19" i="7"/>
  <c r="C19" i="7"/>
  <c r="B19" i="7"/>
  <c r="A19" i="7"/>
  <c r="F18" i="7"/>
  <c r="E18" i="7"/>
  <c r="D18" i="7"/>
  <c r="C18" i="7"/>
  <c r="B18" i="7"/>
  <c r="A18" i="7"/>
  <c r="F17" i="7"/>
  <c r="E17" i="7"/>
  <c r="D17" i="7"/>
  <c r="C17" i="7"/>
  <c r="B17" i="7"/>
  <c r="A17" i="7"/>
  <c r="F16" i="7"/>
  <c r="E16" i="7"/>
  <c r="D16" i="7"/>
  <c r="C16" i="7"/>
  <c r="B16" i="7"/>
  <c r="A16" i="7"/>
  <c r="F15" i="7"/>
  <c r="E15" i="7"/>
  <c r="D15" i="7"/>
  <c r="C15" i="7"/>
  <c r="B15" i="7"/>
  <c r="A15" i="7"/>
  <c r="F14" i="7"/>
  <c r="E14" i="7"/>
  <c r="D14" i="7"/>
  <c r="C14" i="7"/>
  <c r="B14" i="7"/>
  <c r="A14" i="7"/>
  <c r="F13" i="7"/>
  <c r="E13" i="7"/>
  <c r="D13" i="7"/>
  <c r="C13" i="7"/>
  <c r="B13" i="7"/>
  <c r="A13" i="7"/>
  <c r="F12" i="7"/>
  <c r="E12" i="7"/>
  <c r="D12" i="7"/>
  <c r="C12" i="7"/>
  <c r="B12" i="7"/>
  <c r="A12" i="7"/>
  <c r="F11" i="7"/>
  <c r="E11" i="7"/>
  <c r="D11" i="7"/>
  <c r="C11" i="7"/>
  <c r="B11" i="7"/>
  <c r="A11" i="7"/>
  <c r="F10" i="7"/>
  <c r="E10" i="7"/>
  <c r="D10" i="7"/>
  <c r="C10" i="7"/>
  <c r="B10" i="7"/>
  <c r="A10" i="7"/>
  <c r="F9" i="7"/>
  <c r="E9" i="7"/>
  <c r="D9" i="7"/>
  <c r="C9" i="7"/>
  <c r="B9" i="7"/>
  <c r="A9" i="7"/>
  <c r="F8" i="7"/>
  <c r="E8" i="7"/>
  <c r="D8" i="7"/>
  <c r="C8" i="7"/>
  <c r="B8" i="7"/>
  <c r="A8" i="7"/>
  <c r="F7" i="7"/>
  <c r="E7" i="7"/>
  <c r="D7" i="7"/>
  <c r="C7" i="7"/>
  <c r="B7" i="7"/>
  <c r="A7" i="7"/>
  <c r="F6" i="7"/>
  <c r="E6" i="7"/>
  <c r="D6" i="7"/>
  <c r="C6" i="7"/>
  <c r="B6" i="7"/>
  <c r="A6" i="7"/>
  <c r="F5" i="7"/>
  <c r="E5" i="7"/>
  <c r="D5" i="7"/>
  <c r="C5" i="7"/>
  <c r="B5" i="7"/>
  <c r="A5" i="7"/>
  <c r="F4" i="7"/>
  <c r="E4" i="7"/>
  <c r="D4" i="7"/>
  <c r="C4" i="7"/>
  <c r="B4" i="7"/>
  <c r="A4" i="7"/>
  <c r="I21" i="6"/>
  <c r="H21" i="6"/>
  <c r="G21" i="6"/>
  <c r="F21" i="6"/>
  <c r="E21" i="6"/>
  <c r="D21" i="6"/>
  <c r="C21" i="6"/>
  <c r="B21" i="6"/>
  <c r="A21" i="6"/>
  <c r="I20" i="6"/>
  <c r="H20" i="6"/>
  <c r="G20" i="6"/>
  <c r="F20" i="6"/>
  <c r="E20" i="6"/>
  <c r="D20" i="6"/>
  <c r="C20" i="6"/>
  <c r="B20" i="6"/>
  <c r="A20" i="6"/>
  <c r="I19" i="6"/>
  <c r="H19" i="6"/>
  <c r="G19" i="6"/>
  <c r="F19" i="6"/>
  <c r="E19" i="6"/>
  <c r="D19" i="6"/>
  <c r="C19" i="6"/>
  <c r="B19" i="6"/>
  <c r="A19" i="6"/>
  <c r="I18" i="6"/>
  <c r="H18" i="6"/>
  <c r="G18" i="6"/>
  <c r="F18" i="6"/>
  <c r="E18" i="6"/>
  <c r="D18" i="6"/>
  <c r="C18" i="6"/>
  <c r="B18" i="6"/>
  <c r="A18" i="6"/>
  <c r="I17" i="6"/>
  <c r="H17" i="6"/>
  <c r="G17" i="6"/>
  <c r="F17" i="6"/>
  <c r="E17" i="6"/>
  <c r="D17" i="6"/>
  <c r="C17" i="6"/>
  <c r="B17" i="6"/>
  <c r="A17" i="6"/>
  <c r="I16" i="6"/>
  <c r="H16" i="6"/>
  <c r="G16" i="6"/>
  <c r="F16" i="6"/>
  <c r="E16" i="6"/>
  <c r="D16" i="6"/>
  <c r="C16" i="6"/>
  <c r="B16" i="6"/>
  <c r="A16" i="6"/>
  <c r="I15" i="6"/>
  <c r="H15" i="6"/>
  <c r="G15" i="6"/>
  <c r="F15" i="6"/>
  <c r="E15" i="6"/>
  <c r="D15" i="6"/>
  <c r="C15" i="6"/>
  <c r="B15" i="6"/>
  <c r="A15" i="6"/>
  <c r="I14" i="6"/>
  <c r="H14" i="6"/>
  <c r="G14" i="6"/>
  <c r="F14" i="6"/>
  <c r="E14" i="6"/>
  <c r="D14" i="6"/>
  <c r="C14" i="6"/>
  <c r="B14" i="6"/>
  <c r="A14" i="6"/>
  <c r="I13" i="6"/>
  <c r="H13" i="6"/>
  <c r="G13" i="6"/>
  <c r="F13" i="6"/>
  <c r="E13" i="6"/>
  <c r="D13" i="6"/>
  <c r="C13" i="6"/>
  <c r="B13" i="6"/>
  <c r="A13" i="6"/>
  <c r="I12" i="6"/>
  <c r="H12" i="6"/>
  <c r="G12" i="6"/>
  <c r="F12" i="6"/>
  <c r="E12" i="6"/>
  <c r="D12" i="6"/>
  <c r="C12" i="6"/>
  <c r="B12" i="6"/>
  <c r="A12" i="6"/>
  <c r="I11" i="6"/>
  <c r="H11" i="6"/>
  <c r="G11" i="6"/>
  <c r="F11" i="6"/>
  <c r="E11" i="6"/>
  <c r="D11" i="6"/>
  <c r="C11" i="6"/>
  <c r="B11" i="6"/>
  <c r="A11" i="6"/>
  <c r="I10" i="6"/>
  <c r="H10" i="6"/>
  <c r="G10" i="6"/>
  <c r="F10" i="6"/>
  <c r="E10" i="6"/>
  <c r="D10" i="6"/>
  <c r="C10" i="6"/>
  <c r="B10" i="6"/>
  <c r="A10" i="6"/>
  <c r="I9" i="6"/>
  <c r="H9" i="6"/>
  <c r="G9" i="6"/>
  <c r="F9" i="6"/>
  <c r="E9" i="6"/>
  <c r="D9" i="6"/>
  <c r="C9" i="6"/>
  <c r="B9" i="6"/>
  <c r="A9" i="6"/>
  <c r="I8" i="6"/>
  <c r="H8" i="6"/>
  <c r="G8" i="6"/>
  <c r="F8" i="6"/>
  <c r="E8" i="6"/>
  <c r="D8" i="6"/>
  <c r="C8" i="6"/>
  <c r="B8" i="6"/>
  <c r="A8" i="6"/>
  <c r="I7" i="6"/>
  <c r="H7" i="6"/>
  <c r="G7" i="6"/>
  <c r="F7" i="6"/>
  <c r="E7" i="6"/>
  <c r="D7" i="6"/>
  <c r="C7" i="6"/>
  <c r="B7" i="6"/>
  <c r="A7" i="6"/>
  <c r="I6" i="6"/>
  <c r="H6" i="6"/>
  <c r="G6" i="6"/>
  <c r="F6" i="6"/>
  <c r="E6" i="6"/>
  <c r="D6" i="6"/>
  <c r="C6" i="6"/>
  <c r="B6" i="6"/>
  <c r="A6" i="6"/>
  <c r="I5" i="6"/>
  <c r="H5" i="6"/>
  <c r="G5" i="6"/>
  <c r="F5" i="6"/>
  <c r="E5" i="6"/>
  <c r="D5" i="6"/>
  <c r="C5" i="6"/>
  <c r="B5" i="6"/>
  <c r="A5" i="6"/>
  <c r="I4" i="6"/>
  <c r="H4" i="6"/>
  <c r="G4" i="6"/>
  <c r="F4" i="6"/>
  <c r="E4" i="6"/>
  <c r="D4" i="6"/>
  <c r="C4" i="6"/>
  <c r="B4" i="6"/>
  <c r="A4" i="6"/>
  <c r="K6" i="5"/>
  <c r="J6" i="5"/>
  <c r="I6" i="5"/>
  <c r="H6" i="5"/>
  <c r="K5" i="5"/>
  <c r="J5" i="5"/>
  <c r="I5" i="5"/>
  <c r="H5" i="5"/>
  <c r="K4" i="5"/>
  <c r="J4" i="5"/>
  <c r="I4" i="5"/>
  <c r="H4" i="5"/>
  <c r="B10" i="11" l="1"/>
  <c r="E11" i="9"/>
  <c r="G11" i="9" s="1"/>
  <c r="F10" i="11"/>
  <c r="C10" i="11"/>
  <c r="E10" i="11"/>
  <c r="D10" i="11"/>
  <c r="E7" i="9"/>
  <c r="G7" i="9" s="1"/>
  <c r="B7" i="11"/>
  <c r="B6" i="11"/>
  <c r="D6" i="11"/>
  <c r="E6" i="11"/>
  <c r="C6" i="11"/>
  <c r="F6" i="11"/>
  <c r="E6" i="9"/>
  <c r="G6" i="9" s="1"/>
  <c r="B5" i="11"/>
  <c r="C5" i="11"/>
  <c r="D5" i="11"/>
  <c r="E5" i="11"/>
  <c r="F5" i="11"/>
  <c r="E5" i="9"/>
  <c r="G5" i="9" s="1"/>
  <c r="E4" i="11"/>
  <c r="F4" i="11"/>
  <c r="E4" i="9"/>
  <c r="G4" i="9" s="1"/>
  <c r="C4" i="11"/>
  <c r="B4" i="11"/>
  <c r="D4" i="11"/>
</calcChain>
</file>

<file path=xl/sharedStrings.xml><?xml version="1.0" encoding="utf-8"?>
<sst xmlns="http://schemas.openxmlformats.org/spreadsheetml/2006/main" count="293" uniqueCount="171">
  <si>
    <t>Data Availability Support Workbook</t>
  </si>
  <si>
    <t>Manuscript title</t>
  </si>
  <si>
    <t>Longitudinal Visible and Ultraviolet-Excited Imaging of Tomato Changes During Storage</t>
  </si>
  <si>
    <t>Authors</t>
  </si>
  <si>
    <t>Elvianto Dwi Hartono; Dimas Aditya Putra Wardhana; Santoso Santoso; Novky Asmoro</t>
  </si>
  <si>
    <t>Study design</t>
  </si>
  <si>
    <t>Single-specimen longitudinal repeated-measures study; 18 storage-day observations</t>
  </si>
  <si>
    <t>Primary analytical modalities</t>
  </si>
  <si>
    <t>RGB images and UV-excited images</t>
  </si>
  <si>
    <t>Included condition</t>
  </si>
  <si>
    <t>Untreated tomato condition used in the manuscript analysis</t>
  </si>
  <si>
    <t>Primary numerical data</t>
  </si>
  <si>
    <t>Complete 18-day RGB appearance descriptors and UV-excited texture descriptors</t>
  </si>
  <si>
    <t>Contextual metadata</t>
  </si>
  <si>
    <t>Temperature, relative humidity, eCO₂, and TVOC series used as storage context</t>
  </si>
  <si>
    <t>Excluded from workbook</t>
  </si>
  <si>
    <t>Thermal-image data and coating-treatment data</t>
  </si>
  <si>
    <t>Biological replication</t>
  </si>
  <si>
    <t>One fruit; the 18 rows are repeated observations, not independent biological replicates</t>
  </si>
  <si>
    <t>Area interpretation</t>
  </si>
  <si>
    <t>Segmented area is a two-dimensional image-space pixel count, not calibrated physical surface area</t>
  </si>
  <si>
    <t>UV entropy definition</t>
  </si>
  <si>
    <t>Grayscale entropy is image entropy calculated separately from the GLCM descriptors</t>
  </si>
  <si>
    <t>GLCM configuration</t>
  </si>
  <si>
    <t>8 gray levels; GrayLimits [0,255]; offset [0,1]; direction 0°; Symmetric=false; no directional averaging</t>
  </si>
  <si>
    <t>Raw images</t>
  </si>
  <si>
    <t>Raw RGB and UV-excited image files are not embedded in this workbook and should be shared separately if deposited</t>
  </si>
  <si>
    <t>Recommended Data Availability statement</t>
  </si>
  <si>
    <t>The data supporting the findings of this study, including the RGB and UV-excited image sequences, derived image descriptors, and contextual environmental measurements, are available from the corresponding author upon reasonable request.</t>
  </si>
  <si>
    <t>Data integrity note: values were transcribed from the source report/manuscript and the author-provided environmental series. Before public repository deposition, perform a final cross-check against original MATLAB outputs and raw image files.</t>
  </si>
  <si>
    <t>Data Dictionary</t>
  </si>
  <si>
    <t>Sheet</t>
  </si>
  <si>
    <t>Variable</t>
  </si>
  <si>
    <t>Unit / Scale</t>
  </si>
  <si>
    <t>Definition</t>
  </si>
  <si>
    <t>Role</t>
  </si>
  <si>
    <t>Caution</t>
  </si>
  <si>
    <t>RGB_Descriptors</t>
  </si>
  <si>
    <t>Day</t>
  </si>
  <si>
    <t>day index</t>
  </si>
  <si>
    <t>Storage-day observation index (1–18)</t>
  </si>
  <si>
    <t>Temporal index</t>
  </si>
  <si>
    <t>Repeated observations from one fruit</t>
  </si>
  <si>
    <t>MeanR</t>
  </si>
  <si>
    <t>0–255 intensity</t>
  </si>
  <si>
    <t>Mean red-channel intensity within segmented tomato region</t>
  </si>
  <si>
    <t>RGB descriptor</t>
  </si>
  <si>
    <t>Image-derived</t>
  </si>
  <si>
    <t>MeanG</t>
  </si>
  <si>
    <t>Mean green-channel intensity within segmented tomato region</t>
  </si>
  <si>
    <t>MeanB</t>
  </si>
  <si>
    <t>Mean blue-channel intensity within segmented tomato region</t>
  </si>
  <si>
    <t>Colorfulness</t>
  </si>
  <si>
    <t>dimensionless</t>
  </si>
  <si>
    <t>Colorfulness descriptor from source analysis</t>
  </si>
  <si>
    <t>Implementation should match source MATLAB processing</t>
  </si>
  <si>
    <t>SegmentedArea_px</t>
  </si>
  <si>
    <t>pixels</t>
  </si>
  <si>
    <t>Number of pixels assigned to fruit mask</t>
  </si>
  <si>
    <t>Not calibrated physical area</t>
  </si>
  <si>
    <t>RGB_Entropy</t>
  </si>
  <si>
    <t>source implementation</t>
  </si>
  <si>
    <t>RGB image entropy descriptor</t>
  </si>
  <si>
    <t>Distinct from UV grayscale entropy</t>
  </si>
  <si>
    <t>Smoothness</t>
  </si>
  <si>
    <t>Smoothness descriptor from source RGB analysis</t>
  </si>
  <si>
    <t>Near-constant in this dataset</t>
  </si>
  <si>
    <t>RGB_Contrast</t>
  </si>
  <si>
    <t>Image-level contrast descriptor from source RGB analysis</t>
  </si>
  <si>
    <t>Not UV GLCM contrast</t>
  </si>
  <si>
    <t>UV_Texture</t>
  </si>
  <si>
    <t>GLCM_Contrast</t>
  </si>
  <si>
    <t>GLCM contrast</t>
  </si>
  <si>
    <t>UV descriptor</t>
  </si>
  <si>
    <t>8 levels; 0°; offset [0,1]</t>
  </si>
  <si>
    <t>GLCM_Correlation</t>
  </si>
  <si>
    <t>GLCM correlation</t>
  </si>
  <si>
    <t>Descriptive only</t>
  </si>
  <si>
    <t>GLCM_Energy</t>
  </si>
  <si>
    <t>GLCM energy</t>
  </si>
  <si>
    <t>GLCM_Homogeneity</t>
  </si>
  <si>
    <t>GLCM homogeneity</t>
  </si>
  <si>
    <t>GrayscaleEntropy</t>
  </si>
  <si>
    <t>bits</t>
  </si>
  <si>
    <t>Entropy of segmented UV-excited grayscale image</t>
  </si>
  <si>
    <t>Not GLCM entropy</t>
  </si>
  <si>
    <t>Environment_Context</t>
  </si>
  <si>
    <t>Temperature_C</t>
  </si>
  <si>
    <t>°C</t>
  </si>
  <si>
    <t>Daily contextual temperature series used in manuscript</t>
  </si>
  <si>
    <t>Context only</t>
  </si>
  <si>
    <t>Not included in RGB–UV correlations</t>
  </si>
  <si>
    <t>RelativeHumidity_pct</t>
  </si>
  <si>
    <t>%</t>
  </si>
  <si>
    <t>Daily contextual relative-humidity series</t>
  </si>
  <si>
    <t>eCO2_ppm</t>
  </si>
  <si>
    <t>ppm</t>
  </si>
  <si>
    <t>SGP30 equivalent CO₂ output</t>
  </si>
  <si>
    <t>Proxy, not reference-grade direct CO₂</t>
  </si>
  <si>
    <t>TVOC_ppb</t>
  </si>
  <si>
    <t>ppb</t>
  </si>
  <si>
    <t>SGP30 total volatile organic compound output</t>
  </si>
  <si>
    <t>Sensor output used as metadata</t>
  </si>
  <si>
    <t>Complete 18-day RGB-derived appearance descriptors</t>
  </si>
  <si>
    <t>Complete 18-day UV-excited texture descriptors</t>
  </si>
  <si>
    <t>Contextual environmental measurements used in the manuscript</t>
  </si>
  <si>
    <t>Statistic</t>
  </si>
  <si>
    <t>Mean</t>
  </si>
  <si>
    <t>Minimum</t>
  </si>
  <si>
    <t>Maximum</t>
  </si>
  <si>
    <t>Use in analysis</t>
  </si>
  <si>
    <t>RGB normalized trajectories (Xt / X1)</t>
  </si>
  <si>
    <t>UV-excited normalized trajectories (Xt / X1)</t>
  </si>
  <si>
    <t>Rank-transformed variables for descriptive Spearman calculations</t>
  </si>
  <si>
    <t>DayRank</t>
  </si>
  <si>
    <t>Area</t>
  </si>
  <si>
    <t>UV_Contrast</t>
  </si>
  <si>
    <t>UV_Correlation</t>
  </si>
  <si>
    <t>UV_Energy</t>
  </si>
  <si>
    <t>UV_Homogeneity</t>
  </si>
  <si>
    <t>UV_GrayscaleEntropy</t>
  </si>
  <si>
    <t>Manuscript-aligned RGB summary</t>
  </si>
  <si>
    <t>Feature</t>
  </si>
  <si>
    <t>Day 1</t>
  </si>
  <si>
    <t>Day 18</t>
  </si>
  <si>
    <t>Relative change (%)</t>
  </si>
  <si>
    <t>Spearman rho</t>
  </si>
  <si>
    <t>Reported rho</t>
  </si>
  <si>
    <t>Difference</t>
  </si>
  <si>
    <t>Manuscript-aligned UV-excited summary</t>
  </si>
  <si>
    <t>Descriptive cross-modal Spearman association matrix</t>
  </si>
  <si>
    <t>UV Contrast</t>
  </si>
  <si>
    <t>UV Correlation</t>
  </si>
  <si>
    <t>UV Energy</t>
  </si>
  <si>
    <t>UV Homogeneity</t>
  </si>
  <si>
    <t>UV Grayscale Entropy</t>
  </si>
  <si>
    <t>Segmented area</t>
  </si>
  <si>
    <t>RGB entropy</t>
  </si>
  <si>
    <t>RGB contrast</t>
  </si>
  <si>
    <t>Dataset integrity checks against manuscript-reported values</t>
  </si>
  <si>
    <t>Check</t>
  </si>
  <si>
    <t>Calculated / linked</t>
  </si>
  <si>
    <t>Expected</t>
  </si>
  <si>
    <t>Tolerance</t>
  </si>
  <si>
    <t>Status</t>
  </si>
  <si>
    <t>RGB MeanR day 1</t>
  </si>
  <si>
    <t>RGB MeanR day 18</t>
  </si>
  <si>
    <t>RGB Colorfulness day 18</t>
  </si>
  <si>
    <t>UV Contrast day 12</t>
  </si>
  <si>
    <t>UV Energy day 12</t>
  </si>
  <si>
    <t>UV grayscale entropy day 12</t>
  </si>
  <si>
    <t>Temperature mean</t>
  </si>
  <si>
    <t>Humidity mean</t>
  </si>
  <si>
    <t>Temperature minimum</t>
  </si>
  <si>
    <t>Temperature maximum</t>
  </si>
  <si>
    <t>Data Availability Overview</t>
  </si>
  <si>
    <t>Item</t>
  </si>
  <si>
    <t>Value</t>
  </si>
  <si>
    <t>Interpretation</t>
  </si>
  <si>
    <t>Biological specimens</t>
  </si>
  <si>
    <t>Single-specimen longitudinal design</t>
  </si>
  <si>
    <t>Documented</t>
  </si>
  <si>
    <t>Storage-day observations</t>
  </si>
  <si>
    <t>Repeated measurements</t>
  </si>
  <si>
    <t>Complete</t>
  </si>
  <si>
    <t>RGB descriptors</t>
  </si>
  <si>
    <t>Primary visible-image variables</t>
  </si>
  <si>
    <t>UV descriptors</t>
  </si>
  <si>
    <t>4 GLCM + grayscale entropy</t>
  </si>
  <si>
    <t>Environmental variables</t>
  </si>
  <si>
    <t>Contextual metadata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</si>
</sst>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0000"/>
    <numFmt numFmtId="166" formatCode="0.00000000"/>
    <numFmt numFmtId="167" formatCode="0.0"/>
    <numFmt numFmtId="168" formatCode="0.000"/>
    <numFmt numFmtId="169" formatCode="0.000000"/>
  </numFmts>
  <fonts count="6" x14ac:knownFonts="1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i/>
      <sz val="11"/>
      <color rgb="FF7F6000"/>
      <name val="Carlito"/>
    </font>
    <font>
      <b/>
      <sz val="11"/>
      <color rgb="FFFFFFFF"/>
      <name val="Carlito"/>
    </font>
    <font>
      <b/>
      <sz val="11"/>
      <color rgb="FF375623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4" fillId="5" borderId="0" xfId="0" applyFont="1" applyFill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6" borderId="0" xfId="0" applyFont="1" applyFill="1" applyAlignment="1">
      <alignment wrapText="1"/>
    </xf>
    <xf numFmtId="168" fontId="0" fillId="0" borderId="0" xfId="0" applyNumberFormat="1"/>
    <xf numFmtId="169" fontId="0" fillId="0" borderId="0" xfId="0" applyNumberFormat="1"/>
    <xf numFmtId="0" fontId="5" fillId="7" borderId="0" xfId="0" applyFont="1" applyFill="1"/>
    <xf numFmtId="0" fontId="1" fillId="2" borderId="0" xfId="0" applyFont="1" applyFill="1" applyAlignment="1">
      <alignment vertical="center"/>
    </xf>
    <xf numFmtId="0" fontId="3" fillId="4" borderId="0" xfId="0" applyFont="1" applyFill="1" applyAlignment="1">
      <alignment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Normalized RGB appearance trajectories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MeanR</c:v>
          </c:tx>
          <c:marker>
            <c:symbol val="none"/>
          </c:marker>
          <c:cat>
            <c:numRef>
              <c:f>Normalized_RGB!$A$4:$A$21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Normalized_RGB!$B$4:$B$21</c:f>
              <c:numCache>
                <c:formatCode>0.000</c:formatCode>
                <c:ptCount val="18"/>
                <c:pt idx="0">
                  <c:v>1</c:v>
                </c:pt>
                <c:pt idx="1">
                  <c:v>1.0329053780832995</c:v>
                </c:pt>
                <c:pt idx="2">
                  <c:v>1.004296401132228</c:v>
                </c:pt>
                <c:pt idx="3">
                  <c:v>1.0405378083299637</c:v>
                </c:pt>
                <c:pt idx="4">
                  <c:v>0.87515163768701976</c:v>
                </c:pt>
                <c:pt idx="5">
                  <c:v>1.0523150020218357</c:v>
                </c:pt>
                <c:pt idx="6">
                  <c:v>1.038364334816013</c:v>
                </c:pt>
                <c:pt idx="7">
                  <c:v>0.96709462191670037</c:v>
                </c:pt>
                <c:pt idx="8">
                  <c:v>1.0003032753740397</c:v>
                </c:pt>
                <c:pt idx="9">
                  <c:v>0.92878083299636072</c:v>
                </c:pt>
                <c:pt idx="10">
                  <c:v>0.83921350586332388</c:v>
                </c:pt>
                <c:pt idx="11">
                  <c:v>0.77036999595632827</c:v>
                </c:pt>
                <c:pt idx="12">
                  <c:v>0.738829357056207</c:v>
                </c:pt>
                <c:pt idx="13">
                  <c:v>0.69379296401132218</c:v>
                </c:pt>
                <c:pt idx="14">
                  <c:v>0.68610998786898503</c:v>
                </c:pt>
                <c:pt idx="15">
                  <c:v>0.61175697533360296</c:v>
                </c:pt>
                <c:pt idx="16">
                  <c:v>0.62125960372017786</c:v>
                </c:pt>
                <c:pt idx="17">
                  <c:v>0.61377881116053379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D5-4314-A7BA-018C432D003A}"/>
            </c:ext>
          </c:extLst>
        </c:ser>
        <c:ser>
          <c:idx val="1"/>
          <c:order val="1"/>
          <c:tx>
            <c:v>MeanG</c:v>
          </c:tx>
          <c:marker>
            <c:symbol val="none"/>
          </c:marker>
          <c:cat>
            <c:numRef>
              <c:f>Normalized_RGB!$A$4:$A$21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Normalized_RGB!$C$4:$C$21</c:f>
              <c:numCache>
                <c:formatCode>0.000</c:formatCode>
                <c:ptCount val="18"/>
                <c:pt idx="0">
                  <c:v>1</c:v>
                </c:pt>
                <c:pt idx="1">
                  <c:v>1.0202702702702702</c:v>
                </c:pt>
                <c:pt idx="2">
                  <c:v>0.88667076167076164</c:v>
                </c:pt>
                <c:pt idx="3">
                  <c:v>0.90397215397215391</c:v>
                </c:pt>
                <c:pt idx="4">
                  <c:v>0.63595413595413586</c:v>
                </c:pt>
                <c:pt idx="5">
                  <c:v>0.88503276003275999</c:v>
                </c:pt>
                <c:pt idx="6">
                  <c:v>0.89516789516789508</c:v>
                </c:pt>
                <c:pt idx="7">
                  <c:v>0.86875511875511868</c:v>
                </c:pt>
                <c:pt idx="8">
                  <c:v>0.94850532350532346</c:v>
                </c:pt>
                <c:pt idx="9">
                  <c:v>0.89107289107289112</c:v>
                </c:pt>
                <c:pt idx="10">
                  <c:v>0.81480343980343983</c:v>
                </c:pt>
                <c:pt idx="11">
                  <c:v>0.78132678132678124</c:v>
                </c:pt>
                <c:pt idx="12">
                  <c:v>0.75327600327600319</c:v>
                </c:pt>
                <c:pt idx="13">
                  <c:v>0.74498361998361984</c:v>
                </c:pt>
                <c:pt idx="14">
                  <c:v>0.773034398034398</c:v>
                </c:pt>
                <c:pt idx="15">
                  <c:v>0.71764946764946758</c:v>
                </c:pt>
                <c:pt idx="16">
                  <c:v>0.7793816543816543</c:v>
                </c:pt>
                <c:pt idx="17">
                  <c:v>0.81818181818181812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D5-4314-A7BA-018C432D003A}"/>
            </c:ext>
          </c:extLst>
        </c:ser>
        <c:ser>
          <c:idx val="2"/>
          <c:order val="2"/>
          <c:tx>
            <c:v>MeanB</c:v>
          </c:tx>
          <c:marker>
            <c:symbol val="none"/>
          </c:marker>
          <c:cat>
            <c:numRef>
              <c:f>Normalized_RGB!$A$4:$A$21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Normalized_RGB!$D$4:$D$21</c:f>
              <c:numCache>
                <c:formatCode>0.000</c:formatCode>
                <c:ptCount val="18"/>
                <c:pt idx="0">
                  <c:v>1</c:v>
                </c:pt>
                <c:pt idx="1">
                  <c:v>1.1282051282051282</c:v>
                </c:pt>
                <c:pt idx="2">
                  <c:v>1.0436847103513769</c:v>
                </c:pt>
                <c:pt idx="3">
                  <c:v>1.2120924343146564</c:v>
                </c:pt>
                <c:pt idx="4">
                  <c:v>0.76606521050965493</c:v>
                </c:pt>
                <c:pt idx="5">
                  <c:v>1.0867363089585311</c:v>
                </c:pt>
                <c:pt idx="6">
                  <c:v>1.1965811965811965</c:v>
                </c:pt>
                <c:pt idx="7">
                  <c:v>1.2924976258309591</c:v>
                </c:pt>
                <c:pt idx="8">
                  <c:v>1.4004431782209561</c:v>
                </c:pt>
                <c:pt idx="9">
                  <c:v>1.3137068692624247</c:v>
                </c:pt>
                <c:pt idx="10">
                  <c:v>1.3244697689142135</c:v>
                </c:pt>
                <c:pt idx="11">
                  <c:v>1.3130737575182019</c:v>
                </c:pt>
                <c:pt idx="12">
                  <c:v>1.3383982272871162</c:v>
                </c:pt>
                <c:pt idx="13">
                  <c:v>1.3000949667616335</c:v>
                </c:pt>
                <c:pt idx="14">
                  <c:v>1.4704020259575816</c:v>
                </c:pt>
                <c:pt idx="15">
                  <c:v>1.4431782209559989</c:v>
                </c:pt>
                <c:pt idx="16">
                  <c:v>1.6831275720164609</c:v>
                </c:pt>
                <c:pt idx="17">
                  <c:v>1.8752769863880976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AD5-4314-A7BA-018C432D003A}"/>
            </c:ext>
          </c:extLst>
        </c:ser>
        <c:ser>
          <c:idx val="3"/>
          <c:order val="3"/>
          <c:tx>
            <c:v>Colorfulness</c:v>
          </c:tx>
          <c:marker>
            <c:symbol val="none"/>
          </c:marker>
          <c:cat>
            <c:numRef>
              <c:f>Normalized_RGB!$A$4:$A$21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Normalized_RGB!$E$4:$E$21</c:f>
              <c:numCache>
                <c:formatCode>0.000</c:formatCode>
                <c:ptCount val="18"/>
                <c:pt idx="0">
                  <c:v>1</c:v>
                </c:pt>
                <c:pt idx="1">
                  <c:v>1.0251180764276513</c:v>
                </c:pt>
                <c:pt idx="2">
                  <c:v>1.0286603692571918</c:v>
                </c:pt>
                <c:pt idx="3">
                  <c:v>1.0471232288535852</c:v>
                </c:pt>
                <c:pt idx="4">
                  <c:v>0.97466723915843712</c:v>
                </c:pt>
                <c:pt idx="5">
                  <c:v>1.051094890510949</c:v>
                </c:pt>
                <c:pt idx="6">
                  <c:v>1.0009660798626021</c:v>
                </c:pt>
                <c:pt idx="7">
                  <c:v>0.97080291970802923</c:v>
                </c:pt>
                <c:pt idx="8">
                  <c:v>0.9668312580506655</c:v>
                </c:pt>
                <c:pt idx="9">
                  <c:v>0.93001288106483471</c:v>
                </c:pt>
                <c:pt idx="10">
                  <c:v>0.86249463288965222</c:v>
                </c:pt>
                <c:pt idx="11">
                  <c:v>0.83748389866895667</c:v>
                </c:pt>
                <c:pt idx="12">
                  <c:v>0.78284671532846728</c:v>
                </c:pt>
                <c:pt idx="13">
                  <c:v>0.74742378703306134</c:v>
                </c:pt>
                <c:pt idx="14">
                  <c:v>0.73261056247316447</c:v>
                </c:pt>
                <c:pt idx="15">
                  <c:v>0.62355088020609706</c:v>
                </c:pt>
                <c:pt idx="16">
                  <c:v>0.6156075568913697</c:v>
                </c:pt>
                <c:pt idx="17">
                  <c:v>0.55603263203091458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AD5-4314-A7BA-018C432D0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Normalized UV-excited descriptor trajectories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GLCM_Contrast</c:v>
          </c:tx>
          <c:marker>
            <c:symbol val="none"/>
          </c:marker>
          <c:cat>
            <c:numRef>
              <c:f>Normalized_UV!$A$4:$A$21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Normalized_UV!$B$4:$B$21</c:f>
              <c:numCache>
                <c:formatCode>0.000</c:formatCode>
                <c:ptCount val="18"/>
                <c:pt idx="0">
                  <c:v>1</c:v>
                </c:pt>
                <c:pt idx="1">
                  <c:v>0.8945377560834511</c:v>
                </c:pt>
                <c:pt idx="2">
                  <c:v>0.33390993732434643</c:v>
                </c:pt>
                <c:pt idx="3">
                  <c:v>0.20766460735386066</c:v>
                </c:pt>
                <c:pt idx="4">
                  <c:v>0.49419316565206795</c:v>
                </c:pt>
                <c:pt idx="5">
                  <c:v>0.77943552340501854</c:v>
                </c:pt>
                <c:pt idx="6">
                  <c:v>1.2535581851251087</c:v>
                </c:pt>
                <c:pt idx="7">
                  <c:v>1.2930909459743349</c:v>
                </c:pt>
                <c:pt idx="8">
                  <c:v>1.8457109329203143</c:v>
                </c:pt>
                <c:pt idx="9">
                  <c:v>1.2763014411694829</c:v>
                </c:pt>
                <c:pt idx="10">
                  <c:v>2.0795396578102046</c:v>
                </c:pt>
                <c:pt idx="11">
                  <c:v>3.688322636862992</c:v>
                </c:pt>
                <c:pt idx="12">
                  <c:v>1.2590503216639675</c:v>
                </c:pt>
                <c:pt idx="13">
                  <c:v>1.4316391314945571</c:v>
                </c:pt>
                <c:pt idx="14">
                  <c:v>1.3117096851527128</c:v>
                </c:pt>
                <c:pt idx="15">
                  <c:v>1.2969806114935949</c:v>
                </c:pt>
                <c:pt idx="16">
                  <c:v>1.3349513712427938</c:v>
                </c:pt>
                <c:pt idx="17">
                  <c:v>1.0497814459587731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F8-4A35-ACE7-2227A43540C4}"/>
            </c:ext>
          </c:extLst>
        </c:ser>
        <c:ser>
          <c:idx val="1"/>
          <c:order val="1"/>
          <c:tx>
            <c:v>GLCM_Correlation</c:v>
          </c:tx>
          <c:marker>
            <c:symbol val="none"/>
          </c:marker>
          <c:cat>
            <c:numRef>
              <c:f>Normalized_UV!$A$4:$A$21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Normalized_UV!$C$4:$C$21</c:f>
              <c:numCache>
                <c:formatCode>0.000</c:formatCode>
                <c:ptCount val="18"/>
                <c:pt idx="0">
                  <c:v>1</c:v>
                </c:pt>
                <c:pt idx="1">
                  <c:v>0.99604953697115051</c:v>
                </c:pt>
                <c:pt idx="2">
                  <c:v>1.0102794320436241</c:v>
                </c:pt>
                <c:pt idx="3">
                  <c:v>1.0142806192097402</c:v>
                </c:pt>
                <c:pt idx="4">
                  <c:v>0.95171574234013767</c:v>
                </c:pt>
                <c:pt idx="5">
                  <c:v>0.91011176358886248</c:v>
                </c:pt>
                <c:pt idx="6">
                  <c:v>0.92280163559106776</c:v>
                </c:pt>
                <c:pt idx="7">
                  <c:v>0.88518413762556081</c:v>
                </c:pt>
                <c:pt idx="8">
                  <c:v>0.8504190311155343</c:v>
                </c:pt>
                <c:pt idx="9">
                  <c:v>0.83063515325174497</c:v>
                </c:pt>
                <c:pt idx="10">
                  <c:v>0.90386419931694928</c:v>
                </c:pt>
                <c:pt idx="11">
                  <c:v>0.90007672778092052</c:v>
                </c:pt>
                <c:pt idx="12">
                  <c:v>0.83700858784152832</c:v>
                </c:pt>
                <c:pt idx="13">
                  <c:v>0.81337245218785736</c:v>
                </c:pt>
                <c:pt idx="14">
                  <c:v>0.92022418757393409</c:v>
                </c:pt>
                <c:pt idx="15">
                  <c:v>0.92029082388857308</c:v>
                </c:pt>
                <c:pt idx="16">
                  <c:v>0.94116544133524771</c:v>
                </c:pt>
                <c:pt idx="17">
                  <c:v>0.93735471735831288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EF8-4A35-ACE7-2227A43540C4}"/>
            </c:ext>
          </c:extLst>
        </c:ser>
        <c:ser>
          <c:idx val="2"/>
          <c:order val="2"/>
          <c:tx>
            <c:v>GLCM_Energy</c:v>
          </c:tx>
          <c:marker>
            <c:symbol val="none"/>
          </c:marker>
          <c:cat>
            <c:numRef>
              <c:f>Normalized_UV!$A$4:$A$21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Normalized_UV!$D$4:$D$21</c:f>
              <c:numCache>
                <c:formatCode>0.000</c:formatCode>
                <c:ptCount val="18"/>
                <c:pt idx="0">
                  <c:v>1</c:v>
                </c:pt>
                <c:pt idx="1">
                  <c:v>1.0471539059887223</c:v>
                </c:pt>
                <c:pt idx="2">
                  <c:v>1.4742709190335745</c:v>
                </c:pt>
                <c:pt idx="3">
                  <c:v>1.5121315942494942</c:v>
                </c:pt>
                <c:pt idx="4">
                  <c:v>1.5382117853581609</c:v>
                </c:pt>
                <c:pt idx="5">
                  <c:v>1.495310514459498</c:v>
                </c:pt>
                <c:pt idx="6">
                  <c:v>1.3987356792946468</c:v>
                </c:pt>
                <c:pt idx="7">
                  <c:v>1.4015595809083252</c:v>
                </c:pt>
                <c:pt idx="8">
                  <c:v>1.3456260962021551</c:v>
                </c:pt>
                <c:pt idx="9">
                  <c:v>1.439955356749711</c:v>
                </c:pt>
                <c:pt idx="10">
                  <c:v>1.0551056584143506</c:v>
                </c:pt>
                <c:pt idx="11">
                  <c:v>0.7437596521376556</c:v>
                </c:pt>
                <c:pt idx="12">
                  <c:v>1.3816245292727458</c:v>
                </c:pt>
                <c:pt idx="13">
                  <c:v>1.4086610024150978</c:v>
                </c:pt>
                <c:pt idx="14">
                  <c:v>1.3431419138884384</c:v>
                </c:pt>
                <c:pt idx="15">
                  <c:v>1.3536514109984668</c:v>
                </c:pt>
                <c:pt idx="16">
                  <c:v>1.3234672495491606</c:v>
                </c:pt>
                <c:pt idx="17">
                  <c:v>1.3857978431535944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EF8-4A35-ACE7-2227A43540C4}"/>
            </c:ext>
          </c:extLst>
        </c:ser>
        <c:ser>
          <c:idx val="3"/>
          <c:order val="3"/>
          <c:tx>
            <c:v>GLCM_Homogeneity</c:v>
          </c:tx>
          <c:marker>
            <c:symbol val="none"/>
          </c:marker>
          <c:cat>
            <c:numRef>
              <c:f>Normalized_UV!$A$4:$A$21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Normalized_UV!$E$4:$E$21</c:f>
              <c:numCache>
                <c:formatCode>0.000</c:formatCode>
                <c:ptCount val="18"/>
                <c:pt idx="0">
                  <c:v>1</c:v>
                </c:pt>
                <c:pt idx="1">
                  <c:v>1.0011039454146993</c:v>
                </c:pt>
                <c:pt idx="2">
                  <c:v>1.0105666092109591</c:v>
                </c:pt>
                <c:pt idx="3">
                  <c:v>1.0127080223062512</c:v>
                </c:pt>
                <c:pt idx="4">
                  <c:v>1.0082120255095073</c:v>
                </c:pt>
                <c:pt idx="5">
                  <c:v>1.0033857731100424</c:v>
                </c:pt>
                <c:pt idx="6">
                  <c:v>0.99553885482810589</c:v>
                </c:pt>
                <c:pt idx="7">
                  <c:v>0.99475473849124196</c:v>
                </c:pt>
                <c:pt idx="8">
                  <c:v>0.98643483300100321</c:v>
                </c:pt>
                <c:pt idx="9">
                  <c:v>0.99477934041531213</c:v>
                </c:pt>
                <c:pt idx="10">
                  <c:v>0.98133676536593306</c:v>
                </c:pt>
                <c:pt idx="11">
                  <c:v>0.95776723595363811</c:v>
                </c:pt>
                <c:pt idx="12">
                  <c:v>0.99499381789388941</c:v>
                </c:pt>
                <c:pt idx="13">
                  <c:v>0.9927755066369881</c:v>
                </c:pt>
                <c:pt idx="14">
                  <c:v>0.99438686711672275</c:v>
                </c:pt>
                <c:pt idx="15">
                  <c:v>0.99458479528167754</c:v>
                </c:pt>
                <c:pt idx="16">
                  <c:v>0.99395106073356632</c:v>
                </c:pt>
                <c:pt idx="17">
                  <c:v>0.99858523947196232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EF8-4A35-ACE7-2227A43540C4}"/>
            </c:ext>
          </c:extLst>
        </c:ser>
        <c:ser>
          <c:idx val="4"/>
          <c:order val="4"/>
          <c:tx>
            <c:v>GrayscaleEntropy</c:v>
          </c:tx>
          <c:marker>
            <c:symbol val="none"/>
          </c:marker>
          <c:cat>
            <c:numRef>
              <c:f>Normalized_UV!$A$4:$A$21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Normalized_UV!$F$4:$F$21</c:f>
              <c:numCache>
                <c:formatCode>0.000</c:formatCode>
                <c:ptCount val="18"/>
                <c:pt idx="0">
                  <c:v>1</c:v>
                </c:pt>
                <c:pt idx="1">
                  <c:v>0.95939167935333913</c:v>
                </c:pt>
                <c:pt idx="2">
                  <c:v>0.78759966113362068</c:v>
                </c:pt>
                <c:pt idx="3">
                  <c:v>0.76181322729735035</c:v>
                </c:pt>
                <c:pt idx="4">
                  <c:v>0.75079320523765947</c:v>
                </c:pt>
                <c:pt idx="5">
                  <c:v>0.77434187292408285</c:v>
                </c:pt>
                <c:pt idx="6">
                  <c:v>0.83658460760375863</c:v>
                </c:pt>
                <c:pt idx="7">
                  <c:v>0.82711854793647599</c:v>
                </c:pt>
                <c:pt idx="8">
                  <c:v>0.86114592780194443</c:v>
                </c:pt>
                <c:pt idx="9">
                  <c:v>0.80304204062172235</c:v>
                </c:pt>
                <c:pt idx="10">
                  <c:v>0.97475596355645133</c:v>
                </c:pt>
                <c:pt idx="11">
                  <c:v>1.1437883558246671</c:v>
                </c:pt>
                <c:pt idx="12">
                  <c:v>0.8181744851271654</c:v>
                </c:pt>
                <c:pt idx="13">
                  <c:v>0.81600542292514844</c:v>
                </c:pt>
                <c:pt idx="14">
                  <c:v>0.85507758658259414</c:v>
                </c:pt>
                <c:pt idx="15">
                  <c:v>0.85095171772040779</c:v>
                </c:pt>
                <c:pt idx="16">
                  <c:v>0.8724344580829152</c:v>
                </c:pt>
                <c:pt idx="17">
                  <c:v>0.83361827093225294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EF8-4A35-ACE7-2227A4354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GBDescriptorsTable" displayName="RGBDescriptorsTable" ref="A3:I21" totalsRowShown="0">
  <tableColumns count="9">
    <tableColumn id="1" xr3:uid="{00000000-0010-0000-0000-000001000000}" name="Day" dataDxfId="8"/>
    <tableColumn id="2" xr3:uid="{00000000-0010-0000-0000-000002000000}" name="MeanR" dataDxfId="7"/>
    <tableColumn id="3" xr3:uid="{00000000-0010-0000-0000-000003000000}" name="MeanG" dataDxfId="6"/>
    <tableColumn id="4" xr3:uid="{00000000-0010-0000-0000-000004000000}" name="MeanB" dataDxfId="5"/>
    <tableColumn id="5" xr3:uid="{00000000-0010-0000-0000-000005000000}" name="Colorfulness" dataDxfId="4"/>
    <tableColumn id="6" xr3:uid="{00000000-0010-0000-0000-000006000000}" name="SegmentedArea_px" dataDxfId="3"/>
    <tableColumn id="7" xr3:uid="{00000000-0010-0000-0000-000007000000}" name="RGB_Entropy" dataDxfId="2"/>
    <tableColumn id="8" xr3:uid="{00000000-0010-0000-0000-000008000000}" name="Smoothness" dataDxfId="1"/>
    <tableColumn id="9" xr3:uid="{00000000-0010-0000-0000-000009000000}" name="RGB_Contras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VTextureTable" displayName="UVTextureTable" ref="A3:F21" totalsRowShown="0">
  <tableColumns count="6">
    <tableColumn id="1" xr3:uid="{00000000-0010-0000-0100-000001000000}" name="Day" dataDxfId="14"/>
    <tableColumn id="2" xr3:uid="{00000000-0010-0000-0100-000002000000}" name="GLCM_Contrast"/>
    <tableColumn id="3" xr3:uid="{00000000-0010-0000-0100-000003000000}" name="GLCM_Correlation"/>
    <tableColumn id="4" xr3:uid="{00000000-0010-0000-0100-000004000000}" name="GLCM_Energy"/>
    <tableColumn id="5" xr3:uid="{00000000-0010-0000-0100-000005000000}" name="GLCM_Homogeneity"/>
    <tableColumn id="6" xr3:uid="{00000000-0010-0000-0100-000006000000}" name="GrayscaleEntrop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nvironmentTable" displayName="EnvironmentTable" ref="A3:E21" totalsRowShown="0">
  <tableColumns count="5">
    <tableColumn id="1" xr3:uid="{00000000-0010-0000-0200-000001000000}" name="Day" dataDxfId="13"/>
    <tableColumn id="2" xr3:uid="{00000000-0010-0000-0200-000002000000}" name="Temperature_C" dataDxfId="12"/>
    <tableColumn id="3" xr3:uid="{00000000-0010-0000-0200-000003000000}" name="RelativeHumidity_pct" dataDxfId="11"/>
    <tableColumn id="4" xr3:uid="{00000000-0010-0000-0200-000004000000}" name="eCO2_ppm" dataDxfId="10"/>
    <tableColumn id="5" xr3:uid="{00000000-0010-0000-0200-000005000000}" name="TVOC_ppb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sqref="A1:F1"/>
    </sheetView>
  </sheetViews>
  <sheetFormatPr defaultRowHeight="14.4" x14ac:dyDescent="0.3"/>
  <cols>
    <col min="1" max="1" width="26" customWidth="1"/>
    <col min="2" max="2" width="78" customWidth="1"/>
    <col min="3" max="6" width="12" customWidth="1"/>
  </cols>
  <sheetData>
    <row r="1" spans="1:6" ht="18" x14ac:dyDescent="0.3">
      <c r="A1" s="13" t="s">
        <v>0</v>
      </c>
      <c r="B1" s="13"/>
      <c r="C1" s="13"/>
      <c r="D1" s="13"/>
      <c r="E1" s="13"/>
      <c r="F1" s="13"/>
    </row>
    <row r="3" spans="1:6" x14ac:dyDescent="0.3">
      <c r="A3" s="1" t="s">
        <v>1</v>
      </c>
      <c r="B3" s="2" t="s">
        <v>2</v>
      </c>
    </row>
    <row r="4" spans="1:6" x14ac:dyDescent="0.3">
      <c r="A4" s="1" t="s">
        <v>3</v>
      </c>
      <c r="B4" s="2" t="s">
        <v>4</v>
      </c>
    </row>
    <row r="5" spans="1:6" x14ac:dyDescent="0.3">
      <c r="A5" s="1" t="s">
        <v>5</v>
      </c>
      <c r="B5" s="2" t="s">
        <v>6</v>
      </c>
    </row>
    <row r="6" spans="1:6" x14ac:dyDescent="0.3">
      <c r="A6" s="1" t="s">
        <v>7</v>
      </c>
      <c r="B6" s="2" t="s">
        <v>8</v>
      </c>
    </row>
    <row r="7" spans="1:6" x14ac:dyDescent="0.3">
      <c r="A7" s="1" t="s">
        <v>9</v>
      </c>
      <c r="B7" s="2" t="s">
        <v>10</v>
      </c>
    </row>
    <row r="8" spans="1:6" x14ac:dyDescent="0.3">
      <c r="A8" s="1" t="s">
        <v>11</v>
      </c>
      <c r="B8" s="2" t="s">
        <v>12</v>
      </c>
    </row>
    <row r="9" spans="1:6" x14ac:dyDescent="0.3">
      <c r="A9" s="1" t="s">
        <v>13</v>
      </c>
      <c r="B9" s="2" t="s">
        <v>14</v>
      </c>
    </row>
    <row r="10" spans="1:6" x14ac:dyDescent="0.3">
      <c r="A10" s="1" t="s">
        <v>15</v>
      </c>
      <c r="B10" s="2" t="s">
        <v>16</v>
      </c>
    </row>
    <row r="11" spans="1:6" x14ac:dyDescent="0.3">
      <c r="A11" s="1" t="s">
        <v>17</v>
      </c>
      <c r="B11" s="2" t="s">
        <v>18</v>
      </c>
    </row>
    <row r="12" spans="1:6" ht="28.8" x14ac:dyDescent="0.3">
      <c r="A12" s="1" t="s">
        <v>19</v>
      </c>
      <c r="B12" s="2" t="s">
        <v>20</v>
      </c>
    </row>
    <row r="13" spans="1:6" x14ac:dyDescent="0.3">
      <c r="A13" s="1" t="s">
        <v>21</v>
      </c>
      <c r="B13" s="2" t="s">
        <v>22</v>
      </c>
    </row>
    <row r="14" spans="1:6" ht="28.8" x14ac:dyDescent="0.3">
      <c r="A14" s="1" t="s">
        <v>23</v>
      </c>
      <c r="B14" s="2" t="s">
        <v>24</v>
      </c>
    </row>
    <row r="15" spans="1:6" ht="28.8" x14ac:dyDescent="0.3">
      <c r="A15" s="1" t="s">
        <v>25</v>
      </c>
      <c r="B15" s="2" t="s">
        <v>26</v>
      </c>
    </row>
    <row r="16" spans="1:6" ht="43.2" x14ac:dyDescent="0.3">
      <c r="A16" s="1" t="s">
        <v>27</v>
      </c>
      <c r="B16" s="2" t="s">
        <v>28</v>
      </c>
    </row>
    <row r="18" spans="1:6" x14ac:dyDescent="0.3">
      <c r="A18" s="14" t="s">
        <v>29</v>
      </c>
      <c r="B18" s="14"/>
      <c r="C18" s="14"/>
      <c r="D18" s="14"/>
      <c r="E18" s="14"/>
      <c r="F18" s="14"/>
    </row>
    <row r="19" spans="1:6" x14ac:dyDescent="0.3">
      <c r="A19" s="14"/>
      <c r="B19" s="14"/>
      <c r="C19" s="14"/>
      <c r="D19" s="14"/>
      <c r="E19" s="14"/>
      <c r="F19" s="14"/>
    </row>
    <row r="20" spans="1:6" x14ac:dyDescent="0.3">
      <c r="A20" s="14"/>
      <c r="B20" s="14"/>
      <c r="C20" s="14"/>
      <c r="D20" s="14"/>
      <c r="E20" s="14"/>
      <c r="F20" s="14"/>
    </row>
  </sheetData>
  <mergeCells count="2">
    <mergeCell ref="A1:F1"/>
    <mergeCell ref="A18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sqref="A1:F1"/>
    </sheetView>
  </sheetViews>
  <sheetFormatPr defaultRowHeight="14.4" x14ac:dyDescent="0.3"/>
  <cols>
    <col min="1" max="1" width="20" customWidth="1"/>
    <col min="2" max="2" width="24" customWidth="1"/>
    <col min="3" max="3" width="18" customWidth="1"/>
    <col min="4" max="4" width="52" customWidth="1"/>
    <col min="5" max="5" width="20" customWidth="1"/>
    <col min="6" max="6" width="44" customWidth="1"/>
  </cols>
  <sheetData>
    <row r="1" spans="1:6" ht="18" x14ac:dyDescent="0.3">
      <c r="A1" s="13" t="s">
        <v>30</v>
      </c>
      <c r="B1" s="13"/>
      <c r="C1" s="13"/>
      <c r="D1" s="13"/>
      <c r="E1" s="13"/>
      <c r="F1" s="13"/>
    </row>
    <row r="3" spans="1:6" x14ac:dyDescent="0.3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</row>
    <row r="4" spans="1:6" x14ac:dyDescent="0.3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</row>
    <row r="5" spans="1:6" x14ac:dyDescent="0.3">
      <c r="A5" s="2" t="s">
        <v>37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47</v>
      </c>
    </row>
    <row r="6" spans="1:6" ht="28.8" x14ac:dyDescent="0.3">
      <c r="A6" s="2" t="s">
        <v>37</v>
      </c>
      <c r="B6" s="2" t="s">
        <v>48</v>
      </c>
      <c r="C6" s="2" t="s">
        <v>44</v>
      </c>
      <c r="D6" s="2" t="s">
        <v>49</v>
      </c>
      <c r="E6" s="2" t="s">
        <v>46</v>
      </c>
      <c r="F6" s="2" t="s">
        <v>47</v>
      </c>
    </row>
    <row r="7" spans="1:6" x14ac:dyDescent="0.3">
      <c r="A7" s="2" t="s">
        <v>37</v>
      </c>
      <c r="B7" s="2" t="s">
        <v>50</v>
      </c>
      <c r="C7" s="2" t="s">
        <v>44</v>
      </c>
      <c r="D7" s="2" t="s">
        <v>51</v>
      </c>
      <c r="E7" s="2" t="s">
        <v>46</v>
      </c>
      <c r="F7" s="2" t="s">
        <v>47</v>
      </c>
    </row>
    <row r="8" spans="1:6" ht="28.8" x14ac:dyDescent="0.3">
      <c r="A8" s="2" t="s">
        <v>37</v>
      </c>
      <c r="B8" s="2" t="s">
        <v>52</v>
      </c>
      <c r="C8" s="2" t="s">
        <v>53</v>
      </c>
      <c r="D8" s="2" t="s">
        <v>54</v>
      </c>
      <c r="E8" s="2" t="s">
        <v>46</v>
      </c>
      <c r="F8" s="2" t="s">
        <v>55</v>
      </c>
    </row>
    <row r="9" spans="1:6" x14ac:dyDescent="0.3">
      <c r="A9" s="2" t="s">
        <v>37</v>
      </c>
      <c r="B9" s="2" t="s">
        <v>56</v>
      </c>
      <c r="C9" s="2" t="s">
        <v>57</v>
      </c>
      <c r="D9" s="2" t="s">
        <v>58</v>
      </c>
      <c r="E9" s="2" t="s">
        <v>46</v>
      </c>
      <c r="F9" s="2" t="s">
        <v>59</v>
      </c>
    </row>
    <row r="10" spans="1:6" ht="28.8" x14ac:dyDescent="0.3">
      <c r="A10" s="2" t="s">
        <v>37</v>
      </c>
      <c r="B10" s="2" t="s">
        <v>60</v>
      </c>
      <c r="C10" s="2" t="s">
        <v>61</v>
      </c>
      <c r="D10" s="2" t="s">
        <v>62</v>
      </c>
      <c r="E10" s="2" t="s">
        <v>46</v>
      </c>
      <c r="F10" s="2" t="s">
        <v>63</v>
      </c>
    </row>
    <row r="11" spans="1:6" x14ac:dyDescent="0.3">
      <c r="A11" s="2" t="s">
        <v>37</v>
      </c>
      <c r="B11" s="2" t="s">
        <v>64</v>
      </c>
      <c r="C11" s="2" t="s">
        <v>53</v>
      </c>
      <c r="D11" s="2" t="s">
        <v>65</v>
      </c>
      <c r="E11" s="2" t="s">
        <v>46</v>
      </c>
      <c r="F11" s="2" t="s">
        <v>66</v>
      </c>
    </row>
    <row r="12" spans="1:6" ht="28.8" x14ac:dyDescent="0.3">
      <c r="A12" s="2" t="s">
        <v>37</v>
      </c>
      <c r="B12" s="2" t="s">
        <v>67</v>
      </c>
      <c r="C12" s="2" t="s">
        <v>61</v>
      </c>
      <c r="D12" s="2" t="s">
        <v>68</v>
      </c>
      <c r="E12" s="2" t="s">
        <v>46</v>
      </c>
      <c r="F12" s="2" t="s">
        <v>69</v>
      </c>
    </row>
    <row r="13" spans="1:6" x14ac:dyDescent="0.3">
      <c r="A13" s="2" t="s">
        <v>70</v>
      </c>
      <c r="B13" s="2" t="s">
        <v>71</v>
      </c>
      <c r="C13" s="2" t="s">
        <v>53</v>
      </c>
      <c r="D13" s="2" t="s">
        <v>72</v>
      </c>
      <c r="E13" s="2" t="s">
        <v>73</v>
      </c>
      <c r="F13" s="2" t="s">
        <v>74</v>
      </c>
    </row>
    <row r="14" spans="1:6" x14ac:dyDescent="0.3">
      <c r="A14" s="2" t="s">
        <v>70</v>
      </c>
      <c r="B14" s="2" t="s">
        <v>75</v>
      </c>
      <c r="C14" s="2" t="s">
        <v>53</v>
      </c>
      <c r="D14" s="2" t="s">
        <v>76</v>
      </c>
      <c r="E14" s="2" t="s">
        <v>73</v>
      </c>
      <c r="F14" s="2" t="s">
        <v>77</v>
      </c>
    </row>
    <row r="15" spans="1:6" x14ac:dyDescent="0.3">
      <c r="A15" s="2" t="s">
        <v>70</v>
      </c>
      <c r="B15" s="2" t="s">
        <v>78</v>
      </c>
      <c r="C15" s="2" t="s">
        <v>53</v>
      </c>
      <c r="D15" s="2" t="s">
        <v>79</v>
      </c>
      <c r="E15" s="2" t="s">
        <v>73</v>
      </c>
      <c r="F15" s="2" t="s">
        <v>77</v>
      </c>
    </row>
    <row r="16" spans="1:6" x14ac:dyDescent="0.3">
      <c r="A16" s="2" t="s">
        <v>70</v>
      </c>
      <c r="B16" s="2" t="s">
        <v>80</v>
      </c>
      <c r="C16" s="2" t="s">
        <v>53</v>
      </c>
      <c r="D16" s="2" t="s">
        <v>81</v>
      </c>
      <c r="E16" s="2" t="s">
        <v>73</v>
      </c>
      <c r="F16" s="2" t="s">
        <v>77</v>
      </c>
    </row>
    <row r="17" spans="1:6" x14ac:dyDescent="0.3">
      <c r="A17" s="2" t="s">
        <v>70</v>
      </c>
      <c r="B17" s="2" t="s">
        <v>82</v>
      </c>
      <c r="C17" s="2" t="s">
        <v>83</v>
      </c>
      <c r="D17" s="2" t="s">
        <v>84</v>
      </c>
      <c r="E17" s="2" t="s">
        <v>73</v>
      </c>
      <c r="F17" s="2" t="s">
        <v>85</v>
      </c>
    </row>
    <row r="18" spans="1:6" x14ac:dyDescent="0.3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s">
        <v>91</v>
      </c>
    </row>
    <row r="19" spans="1:6" x14ac:dyDescent="0.3">
      <c r="A19" s="2" t="s">
        <v>86</v>
      </c>
      <c r="B19" s="2" t="s">
        <v>92</v>
      </c>
      <c r="C19" s="2" t="s">
        <v>93</v>
      </c>
      <c r="D19" s="2" t="s">
        <v>94</v>
      </c>
      <c r="E19" s="2" t="s">
        <v>90</v>
      </c>
      <c r="F19" s="2" t="s">
        <v>91</v>
      </c>
    </row>
    <row r="20" spans="1:6" x14ac:dyDescent="0.3">
      <c r="A20" s="2" t="s">
        <v>86</v>
      </c>
      <c r="B20" s="2" t="s">
        <v>95</v>
      </c>
      <c r="C20" s="2" t="s">
        <v>96</v>
      </c>
      <c r="D20" s="2" t="s">
        <v>97</v>
      </c>
      <c r="E20" s="2" t="s">
        <v>90</v>
      </c>
      <c r="F20" s="2" t="s">
        <v>98</v>
      </c>
    </row>
    <row r="21" spans="1:6" x14ac:dyDescent="0.3">
      <c r="A21" s="2" t="s">
        <v>86</v>
      </c>
      <c r="B21" s="2" t="s">
        <v>99</v>
      </c>
      <c r="C21" s="2" t="s">
        <v>100</v>
      </c>
      <c r="D21" s="2" t="s">
        <v>101</v>
      </c>
      <c r="E21" s="2" t="s">
        <v>90</v>
      </c>
      <c r="F21" s="2" t="s">
        <v>102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selection activeCell="K15" sqref="K15"/>
    </sheetView>
  </sheetViews>
  <sheetFormatPr defaultRowHeight="14.4" x14ac:dyDescent="0.3"/>
  <cols>
    <col min="1" max="1" width="9.88671875" customWidth="1"/>
    <col min="2" max="2" width="8.44140625" customWidth="1"/>
    <col min="3" max="3" width="8.6640625" customWidth="1"/>
    <col min="4" max="4" width="8.44140625" customWidth="1"/>
    <col min="5" max="5" width="12.44140625" customWidth="1"/>
    <col min="6" max="6" width="17.88671875" customWidth="1"/>
    <col min="7" max="7" width="13.109375" customWidth="1"/>
    <col min="8" max="8" width="12.33203125" customWidth="1"/>
    <col min="9" max="9" width="13.6640625" customWidth="1"/>
  </cols>
  <sheetData>
    <row r="1" spans="1:9" ht="18" x14ac:dyDescent="0.3">
      <c r="A1" s="13" t="s">
        <v>103</v>
      </c>
      <c r="B1" s="13"/>
      <c r="C1" s="13"/>
      <c r="D1" s="13"/>
      <c r="E1" s="13"/>
      <c r="F1" s="13"/>
      <c r="G1" s="13"/>
      <c r="H1" s="13"/>
      <c r="I1" s="13"/>
    </row>
    <row r="3" spans="1:9" x14ac:dyDescent="0.3">
      <c r="A3" s="3" t="s">
        <v>38</v>
      </c>
      <c r="B3" s="3" t="s">
        <v>43</v>
      </c>
      <c r="C3" s="3" t="s">
        <v>48</v>
      </c>
      <c r="D3" s="3" t="s">
        <v>50</v>
      </c>
      <c r="E3" s="3" t="s">
        <v>52</v>
      </c>
      <c r="F3" s="3" t="s">
        <v>56</v>
      </c>
      <c r="G3" s="3" t="s">
        <v>60</v>
      </c>
      <c r="H3" s="3" t="s">
        <v>64</v>
      </c>
      <c r="I3" s="3" t="s">
        <v>67</v>
      </c>
    </row>
    <row r="4" spans="1:9" x14ac:dyDescent="0.3">
      <c r="A4" s="15">
        <v>1</v>
      </c>
      <c r="B4" s="16">
        <v>197.84</v>
      </c>
      <c r="C4" s="16">
        <v>97.68</v>
      </c>
      <c r="D4" s="16">
        <v>31.59</v>
      </c>
      <c r="E4" s="16">
        <v>93.16</v>
      </c>
      <c r="F4" s="18">
        <v>155385</v>
      </c>
      <c r="G4" s="16">
        <v>5.32</v>
      </c>
      <c r="H4" s="19">
        <v>0.99939999999999996</v>
      </c>
      <c r="I4" s="16">
        <v>41.05</v>
      </c>
    </row>
    <row r="5" spans="1:9" x14ac:dyDescent="0.3">
      <c r="A5" s="15">
        <v>2</v>
      </c>
      <c r="B5" s="16">
        <v>204.35</v>
      </c>
      <c r="C5" s="16">
        <v>99.66</v>
      </c>
      <c r="D5" s="16">
        <v>35.64</v>
      </c>
      <c r="E5" s="16">
        <v>95.5</v>
      </c>
      <c r="F5" s="18">
        <v>162367</v>
      </c>
      <c r="G5" s="16">
        <v>5.5</v>
      </c>
      <c r="H5" s="19">
        <v>0.99939999999999996</v>
      </c>
      <c r="I5" s="16">
        <v>41.22</v>
      </c>
    </row>
    <row r="6" spans="1:9" x14ac:dyDescent="0.3">
      <c r="A6" s="15">
        <v>3</v>
      </c>
      <c r="B6" s="16">
        <v>198.69</v>
      </c>
      <c r="C6" s="16">
        <v>86.61</v>
      </c>
      <c r="D6" s="16">
        <v>32.97</v>
      </c>
      <c r="E6" s="16">
        <v>95.83</v>
      </c>
      <c r="F6" s="18">
        <v>158931</v>
      </c>
      <c r="G6" s="16">
        <v>5.38</v>
      </c>
      <c r="H6" s="19">
        <v>0.99939999999999996</v>
      </c>
      <c r="I6" s="16">
        <v>40.299999999999997</v>
      </c>
    </row>
    <row r="7" spans="1:9" x14ac:dyDescent="0.3">
      <c r="A7" s="15">
        <v>4</v>
      </c>
      <c r="B7" s="16">
        <v>205.86</v>
      </c>
      <c r="C7" s="16">
        <v>88.3</v>
      </c>
      <c r="D7" s="16">
        <v>38.29</v>
      </c>
      <c r="E7" s="16">
        <v>97.55</v>
      </c>
      <c r="F7" s="18">
        <v>159641</v>
      </c>
      <c r="G7" s="16">
        <v>5.38</v>
      </c>
      <c r="H7" s="19">
        <v>0.99939999999999996</v>
      </c>
      <c r="I7" s="16">
        <v>41.24</v>
      </c>
    </row>
    <row r="8" spans="1:9" x14ac:dyDescent="0.3">
      <c r="A8" s="15">
        <v>5</v>
      </c>
      <c r="B8" s="16">
        <v>173.14</v>
      </c>
      <c r="C8" s="16">
        <v>62.12</v>
      </c>
      <c r="D8" s="16">
        <v>24.2</v>
      </c>
      <c r="E8" s="16">
        <v>90.8</v>
      </c>
      <c r="F8" s="18">
        <v>179179</v>
      </c>
      <c r="G8" s="16">
        <v>5.8</v>
      </c>
      <c r="H8" s="19">
        <v>0.99939999999999996</v>
      </c>
      <c r="I8" s="16">
        <v>40.19</v>
      </c>
    </row>
    <row r="9" spans="1:9" x14ac:dyDescent="0.3">
      <c r="A9" s="15">
        <v>6</v>
      </c>
      <c r="B9" s="16">
        <v>208.19</v>
      </c>
      <c r="C9" s="16">
        <v>86.45</v>
      </c>
      <c r="D9" s="16">
        <v>34.33</v>
      </c>
      <c r="E9" s="16">
        <v>97.92</v>
      </c>
      <c r="F9" s="18">
        <v>147572</v>
      </c>
      <c r="G9" s="16">
        <v>5.01</v>
      </c>
      <c r="H9" s="19">
        <v>0.99929999999999997</v>
      </c>
      <c r="I9" s="16">
        <v>37.29</v>
      </c>
    </row>
    <row r="10" spans="1:9" x14ac:dyDescent="0.3">
      <c r="A10" s="15">
        <v>7</v>
      </c>
      <c r="B10" s="16">
        <v>205.43</v>
      </c>
      <c r="C10" s="16">
        <v>87.44</v>
      </c>
      <c r="D10" s="16">
        <v>37.799999999999997</v>
      </c>
      <c r="E10" s="16">
        <v>93.25</v>
      </c>
      <c r="F10" s="18">
        <v>173614</v>
      </c>
      <c r="G10" s="16">
        <v>5.6</v>
      </c>
      <c r="H10" s="19">
        <v>0.99919999999999998</v>
      </c>
      <c r="I10" s="16">
        <v>35.35</v>
      </c>
    </row>
    <row r="11" spans="1:9" x14ac:dyDescent="0.3">
      <c r="A11" s="15">
        <v>8</v>
      </c>
      <c r="B11" s="16">
        <v>191.33</v>
      </c>
      <c r="C11" s="16">
        <v>84.86</v>
      </c>
      <c r="D11" s="16">
        <v>40.83</v>
      </c>
      <c r="E11" s="16">
        <v>90.44</v>
      </c>
      <c r="F11" s="18">
        <v>166397</v>
      </c>
      <c r="G11" s="16">
        <v>5.57</v>
      </c>
      <c r="H11" s="19">
        <v>0.99939999999999996</v>
      </c>
      <c r="I11" s="16">
        <v>41.43</v>
      </c>
    </row>
    <row r="12" spans="1:9" x14ac:dyDescent="0.3">
      <c r="A12" s="15">
        <v>9</v>
      </c>
      <c r="B12" s="16">
        <v>197.9</v>
      </c>
      <c r="C12" s="16">
        <v>92.65</v>
      </c>
      <c r="D12" s="16">
        <v>44.24</v>
      </c>
      <c r="E12" s="16">
        <v>90.07</v>
      </c>
      <c r="F12" s="18">
        <v>170608</v>
      </c>
      <c r="G12" s="16">
        <v>5.64</v>
      </c>
      <c r="H12" s="19">
        <v>0.99939999999999996</v>
      </c>
      <c r="I12" s="16">
        <v>39.270000000000003</v>
      </c>
    </row>
    <row r="13" spans="1:9" x14ac:dyDescent="0.3">
      <c r="A13" s="15">
        <v>10</v>
      </c>
      <c r="B13" s="16">
        <v>183.75</v>
      </c>
      <c r="C13" s="16">
        <v>87.04</v>
      </c>
      <c r="D13" s="16">
        <v>41.5</v>
      </c>
      <c r="E13" s="16">
        <v>86.64</v>
      </c>
      <c r="F13" s="18">
        <v>178792</v>
      </c>
      <c r="G13" s="16">
        <v>5.8</v>
      </c>
      <c r="H13" s="19">
        <v>0.99929999999999997</v>
      </c>
      <c r="I13" s="16">
        <v>37.69</v>
      </c>
    </row>
    <row r="14" spans="1:9" x14ac:dyDescent="0.3">
      <c r="A14" s="15">
        <v>11</v>
      </c>
      <c r="B14" s="16">
        <v>166.03</v>
      </c>
      <c r="C14" s="16">
        <v>79.59</v>
      </c>
      <c r="D14" s="16">
        <v>41.84</v>
      </c>
      <c r="E14" s="16">
        <v>80.349999999999994</v>
      </c>
      <c r="F14" s="18">
        <v>169597</v>
      </c>
      <c r="G14" s="16">
        <v>5.6</v>
      </c>
      <c r="H14" s="19">
        <v>0.99939999999999996</v>
      </c>
      <c r="I14" s="16">
        <v>39.6</v>
      </c>
    </row>
    <row r="15" spans="1:9" x14ac:dyDescent="0.3">
      <c r="A15" s="15">
        <v>12</v>
      </c>
      <c r="B15" s="16">
        <v>152.41</v>
      </c>
      <c r="C15" s="16">
        <v>76.319999999999993</v>
      </c>
      <c r="D15" s="16">
        <v>41.48</v>
      </c>
      <c r="E15" s="16">
        <v>78.02</v>
      </c>
      <c r="F15" s="18">
        <v>105158</v>
      </c>
      <c r="G15" s="16">
        <v>3.89</v>
      </c>
      <c r="H15" s="19">
        <v>0.99939999999999996</v>
      </c>
      <c r="I15" s="16">
        <v>41.1</v>
      </c>
    </row>
    <row r="16" spans="1:9" x14ac:dyDescent="0.3">
      <c r="A16" s="15">
        <v>13</v>
      </c>
      <c r="B16" s="16">
        <v>146.16999999999999</v>
      </c>
      <c r="C16" s="16">
        <v>73.58</v>
      </c>
      <c r="D16" s="16">
        <v>42.28</v>
      </c>
      <c r="E16" s="16">
        <v>72.930000000000007</v>
      </c>
      <c r="F16" s="18">
        <v>104593</v>
      </c>
      <c r="G16" s="16">
        <v>3.84</v>
      </c>
      <c r="H16" s="19">
        <v>0.99929999999999997</v>
      </c>
      <c r="I16" s="16">
        <v>38.96</v>
      </c>
    </row>
    <row r="17" spans="1:9" x14ac:dyDescent="0.3">
      <c r="A17" s="15">
        <v>14</v>
      </c>
      <c r="B17" s="16">
        <v>137.26</v>
      </c>
      <c r="C17" s="16">
        <v>72.77</v>
      </c>
      <c r="D17" s="16">
        <v>41.07</v>
      </c>
      <c r="E17" s="16">
        <v>69.63</v>
      </c>
      <c r="F17" s="18">
        <v>112496</v>
      </c>
      <c r="G17" s="16">
        <v>4.1100000000000003</v>
      </c>
      <c r="H17" s="19">
        <v>0.99939999999999996</v>
      </c>
      <c r="I17" s="16">
        <v>42.01</v>
      </c>
    </row>
    <row r="18" spans="1:9" x14ac:dyDescent="0.3">
      <c r="A18" s="15">
        <v>15</v>
      </c>
      <c r="B18" s="16">
        <v>135.74</v>
      </c>
      <c r="C18" s="16">
        <v>75.510000000000005</v>
      </c>
      <c r="D18" s="16">
        <v>46.45</v>
      </c>
      <c r="E18" s="16">
        <v>68.25</v>
      </c>
      <c r="F18" s="18">
        <v>106197</v>
      </c>
      <c r="G18" s="16">
        <v>3.93</v>
      </c>
      <c r="H18" s="19">
        <v>0.99939999999999996</v>
      </c>
      <c r="I18" s="16">
        <v>42.53</v>
      </c>
    </row>
    <row r="19" spans="1:9" x14ac:dyDescent="0.3">
      <c r="A19" s="15">
        <v>16</v>
      </c>
      <c r="B19" s="16">
        <v>121.03</v>
      </c>
      <c r="C19" s="16">
        <v>70.099999999999994</v>
      </c>
      <c r="D19" s="16">
        <v>45.59</v>
      </c>
      <c r="E19" s="16">
        <v>58.09</v>
      </c>
      <c r="F19" s="18">
        <v>111738</v>
      </c>
      <c r="G19" s="16">
        <v>4.07</v>
      </c>
      <c r="H19" s="19">
        <v>0.99939999999999996</v>
      </c>
      <c r="I19" s="16">
        <v>42.4</v>
      </c>
    </row>
    <row r="20" spans="1:9" x14ac:dyDescent="0.3">
      <c r="A20" s="15">
        <v>17</v>
      </c>
      <c r="B20" s="16">
        <v>122.91</v>
      </c>
      <c r="C20" s="16">
        <v>76.13</v>
      </c>
      <c r="D20" s="16">
        <v>53.17</v>
      </c>
      <c r="E20" s="16">
        <v>57.35</v>
      </c>
      <c r="F20" s="18">
        <v>105512</v>
      </c>
      <c r="G20" s="16">
        <v>3.91</v>
      </c>
      <c r="H20" s="19">
        <v>0.99950000000000006</v>
      </c>
      <c r="I20" s="16">
        <v>46.27</v>
      </c>
    </row>
    <row r="21" spans="1:9" x14ac:dyDescent="0.3">
      <c r="A21" s="15">
        <v>18</v>
      </c>
      <c r="B21" s="16">
        <v>121.43</v>
      </c>
      <c r="C21" s="16">
        <v>79.92</v>
      </c>
      <c r="D21" s="16">
        <v>59.24</v>
      </c>
      <c r="E21" s="16">
        <v>51.8</v>
      </c>
      <c r="F21" s="18">
        <v>97161</v>
      </c>
      <c r="G21" s="16">
        <v>3.67</v>
      </c>
      <c r="H21" s="19">
        <v>0.99960000000000004</v>
      </c>
      <c r="I21" s="16">
        <v>49.75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selection activeCell="A4" sqref="A4:A21"/>
    </sheetView>
  </sheetViews>
  <sheetFormatPr defaultRowHeight="14.4" x14ac:dyDescent="0.3"/>
  <cols>
    <col min="1" max="1" width="11.88671875" customWidth="1"/>
    <col min="2" max="2" width="14.88671875" customWidth="1"/>
    <col min="3" max="3" width="17" customWidth="1"/>
    <col min="4" max="4" width="13.6640625" customWidth="1"/>
    <col min="5" max="5" width="18.77734375" customWidth="1"/>
    <col min="6" max="6" width="16.21875" customWidth="1"/>
  </cols>
  <sheetData>
    <row r="1" spans="1:6" ht="18" x14ac:dyDescent="0.3">
      <c r="A1" s="13" t="s">
        <v>104</v>
      </c>
      <c r="B1" s="13"/>
      <c r="C1" s="13"/>
      <c r="D1" s="13"/>
      <c r="E1" s="13"/>
      <c r="F1" s="13"/>
    </row>
    <row r="3" spans="1:6" x14ac:dyDescent="0.3">
      <c r="A3" s="3" t="s">
        <v>38</v>
      </c>
      <c r="B3" s="3" t="s">
        <v>71</v>
      </c>
      <c r="C3" s="3" t="s">
        <v>75</v>
      </c>
      <c r="D3" s="3" t="s">
        <v>78</v>
      </c>
      <c r="E3" s="3" t="s">
        <v>80</v>
      </c>
      <c r="F3" s="3" t="s">
        <v>82</v>
      </c>
    </row>
    <row r="4" spans="1:6" x14ac:dyDescent="0.3">
      <c r="A4" s="15">
        <v>1</v>
      </c>
      <c r="B4" s="6">
        <v>3.3382819000000001E-2</v>
      </c>
      <c r="C4" s="6">
        <v>0.96699525399999997</v>
      </c>
      <c r="D4" s="6">
        <v>0.55584124899999998</v>
      </c>
      <c r="E4" s="6">
        <v>0.98402872600000002</v>
      </c>
      <c r="F4" s="7">
        <v>3.3562845700000001</v>
      </c>
    </row>
    <row r="5" spans="1:6" x14ac:dyDescent="0.3">
      <c r="A5" s="15">
        <v>2</v>
      </c>
      <c r="B5" s="6">
        <v>2.9862191999999999E-2</v>
      </c>
      <c r="C5" s="6">
        <v>0.96317517500000005</v>
      </c>
      <c r="D5" s="6">
        <v>0.58205133499999995</v>
      </c>
      <c r="E5" s="6">
        <v>0.98511504000000005</v>
      </c>
      <c r="F5" s="7">
        <v>3.21999149</v>
      </c>
    </row>
    <row r="6" spans="1:6" x14ac:dyDescent="0.3">
      <c r="A6" s="15">
        <v>3</v>
      </c>
      <c r="B6" s="6">
        <v>1.1146855000000001E-2</v>
      </c>
      <c r="C6" s="6">
        <v>0.976935416</v>
      </c>
      <c r="D6" s="6">
        <v>0.81946058899999996</v>
      </c>
      <c r="E6" s="6">
        <v>0.99442657300000004</v>
      </c>
      <c r="F6" s="7">
        <v>2.6434085899999999</v>
      </c>
    </row>
    <row r="7" spans="1:6" x14ac:dyDescent="0.3">
      <c r="A7" s="15">
        <v>4</v>
      </c>
      <c r="B7" s="6">
        <v>6.9324299999999998E-3</v>
      </c>
      <c r="C7" s="6">
        <v>0.98080454500000003</v>
      </c>
      <c r="D7" s="6">
        <v>0.84050511400000005</v>
      </c>
      <c r="E7" s="6">
        <v>0.99653378500000001</v>
      </c>
      <c r="F7" s="7">
        <v>2.5568619799999999</v>
      </c>
    </row>
    <row r="8" spans="1:6" x14ac:dyDescent="0.3">
      <c r="A8" s="15">
        <v>5</v>
      </c>
      <c r="B8" s="6">
        <v>1.6497561000000001E-2</v>
      </c>
      <c r="C8" s="6">
        <v>0.92030460599999997</v>
      </c>
      <c r="D8" s="6">
        <v>0.85500156000000005</v>
      </c>
      <c r="E8" s="6">
        <v>0.99210959499999996</v>
      </c>
      <c r="F8" s="7">
        <v>2.5198756499999999</v>
      </c>
    </row>
    <row r="9" spans="1:6" x14ac:dyDescent="0.3">
      <c r="A9" s="15">
        <v>6</v>
      </c>
      <c r="B9" s="6">
        <v>2.6019754999999999E-2</v>
      </c>
      <c r="C9" s="6">
        <v>0.88007375600000004</v>
      </c>
      <c r="D9" s="6">
        <v>0.83115526399999995</v>
      </c>
      <c r="E9" s="6">
        <v>0.98736042400000001</v>
      </c>
      <c r="F9" s="7">
        <v>2.5989116800000001</v>
      </c>
    </row>
    <row r="10" spans="1:6" x14ac:dyDescent="0.3">
      <c r="A10" s="15">
        <v>7</v>
      </c>
      <c r="B10" s="6">
        <v>4.1847306000000001E-2</v>
      </c>
      <c r="C10" s="6">
        <v>0.89234480199999999</v>
      </c>
      <c r="D10" s="6">
        <v>0.77747498699999995</v>
      </c>
      <c r="E10" s="6">
        <v>0.97963883100000004</v>
      </c>
      <c r="F10" s="7">
        <v>2.8078160099999998</v>
      </c>
    </row>
    <row r="11" spans="1:6" x14ac:dyDescent="0.3">
      <c r="A11" s="15">
        <v>8</v>
      </c>
      <c r="B11" s="6">
        <v>4.3167021E-2</v>
      </c>
      <c r="C11" s="6">
        <v>0.85596886000000005</v>
      </c>
      <c r="D11" s="6">
        <v>0.77904462799999996</v>
      </c>
      <c r="E11" s="6">
        <v>0.97886723799999997</v>
      </c>
      <c r="F11" s="7">
        <v>2.7760452199999999</v>
      </c>
    </row>
    <row r="12" spans="1:6" x14ac:dyDescent="0.3">
      <c r="A12" s="15">
        <v>9</v>
      </c>
      <c r="B12" s="6">
        <v>6.1615033999999999E-2</v>
      </c>
      <c r="C12" s="6">
        <v>0.82235116699999999</v>
      </c>
      <c r="D12" s="6">
        <v>0.74795449000000003</v>
      </c>
      <c r="E12" s="6">
        <v>0.97068021199999999</v>
      </c>
      <c r="F12" s="7">
        <v>2.8902507900000001</v>
      </c>
    </row>
    <row r="13" spans="1:6" x14ac:dyDescent="0.3">
      <c r="A13" s="15">
        <v>10</v>
      </c>
      <c r="B13" s="6">
        <v>4.2606539999999998E-2</v>
      </c>
      <c r="C13" s="6">
        <v>0.80322025100000005</v>
      </c>
      <c r="D13" s="6">
        <v>0.80038658399999996</v>
      </c>
      <c r="E13" s="6">
        <v>0.97889144699999997</v>
      </c>
      <c r="F13" s="7">
        <v>2.69523761</v>
      </c>
    </row>
    <row r="14" spans="1:6" x14ac:dyDescent="0.3">
      <c r="A14" s="15">
        <v>11</v>
      </c>
      <c r="B14" s="6">
        <v>6.9420895999999996E-2</v>
      </c>
      <c r="C14" s="6">
        <v>0.87403239099999996</v>
      </c>
      <c r="D14" s="6">
        <v>0.58647124699999997</v>
      </c>
      <c r="E14" s="6">
        <v>0.965663567</v>
      </c>
      <c r="F14" s="7">
        <v>3.2715584</v>
      </c>
    </row>
    <row r="15" spans="1:6" x14ac:dyDescent="0.3">
      <c r="A15" s="15">
        <v>12</v>
      </c>
      <c r="B15" s="6">
        <v>0.123126607</v>
      </c>
      <c r="C15" s="6">
        <v>0.87036992400000002</v>
      </c>
      <c r="D15" s="6">
        <v>0.41341229400000001</v>
      </c>
      <c r="E15" s="6">
        <v>0.94247047299999998</v>
      </c>
      <c r="F15" s="7">
        <v>3.83887921</v>
      </c>
    </row>
    <row r="16" spans="1:6" x14ac:dyDescent="0.3">
      <c r="A16" s="15">
        <v>13</v>
      </c>
      <c r="B16" s="6">
        <v>4.2030649000000003E-2</v>
      </c>
      <c r="C16" s="6">
        <v>0.80938333200000001</v>
      </c>
      <c r="D16" s="6">
        <v>0.76796390400000003</v>
      </c>
      <c r="E16" s="6">
        <v>0.97910249900000001</v>
      </c>
      <c r="F16" s="7">
        <v>2.7460263999999999</v>
      </c>
    </row>
    <row r="17" spans="1:6" x14ac:dyDescent="0.3">
      <c r="A17" s="15">
        <v>14</v>
      </c>
      <c r="B17" s="6">
        <v>4.7792149999999999E-2</v>
      </c>
      <c r="C17" s="6">
        <v>0.78652730100000001</v>
      </c>
      <c r="D17" s="6">
        <v>0.782991891</v>
      </c>
      <c r="E17" s="6">
        <v>0.97691961699999996</v>
      </c>
      <c r="F17" s="7">
        <v>2.7387464100000001</v>
      </c>
    </row>
    <row r="18" spans="1:6" x14ac:dyDescent="0.3">
      <c r="A18" s="15">
        <v>15</v>
      </c>
      <c r="B18" s="6">
        <v>4.3788567E-2</v>
      </c>
      <c r="C18" s="6">
        <v>0.88985242200000003</v>
      </c>
      <c r="D18" s="6">
        <v>0.74657367900000005</v>
      </c>
      <c r="E18" s="6">
        <v>0.978505242</v>
      </c>
      <c r="F18" s="7">
        <v>2.8698837099999999</v>
      </c>
    </row>
    <row r="19" spans="1:6" x14ac:dyDescent="0.3">
      <c r="A19" s="15">
        <v>16</v>
      </c>
      <c r="B19" s="6">
        <v>4.3296869000000002E-2</v>
      </c>
      <c r="C19" s="6">
        <v>0.88991685899999995</v>
      </c>
      <c r="D19" s="6">
        <v>0.75241529100000004</v>
      </c>
      <c r="E19" s="6">
        <v>0.97870000899999998</v>
      </c>
      <c r="F19" s="7">
        <v>2.8560361200000002</v>
      </c>
    </row>
    <row r="20" spans="1:6" x14ac:dyDescent="0.3">
      <c r="A20" s="15">
        <v>17</v>
      </c>
      <c r="B20" s="6">
        <v>4.4564439999999997E-2</v>
      </c>
      <c r="C20" s="6">
        <v>0.91010251499999995</v>
      </c>
      <c r="D20" s="6">
        <v>0.73563768900000004</v>
      </c>
      <c r="E20" s="6">
        <v>0.97807639599999996</v>
      </c>
      <c r="F20" s="7">
        <v>2.92813831</v>
      </c>
    </row>
    <row r="21" spans="1:6" x14ac:dyDescent="0.3">
      <c r="A21" s="15">
        <v>18</v>
      </c>
      <c r="B21" s="6">
        <v>3.5044664000000003E-2</v>
      </c>
      <c r="C21" s="6">
        <v>0.90641756299999998</v>
      </c>
      <c r="D21" s="6">
        <v>0.77028360399999996</v>
      </c>
      <c r="E21" s="6">
        <v>0.98263656099999996</v>
      </c>
      <c r="F21" s="7">
        <v>2.7978601400000001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workbookViewId="0">
      <selection activeCell="B4" sqref="B4:E21"/>
    </sheetView>
  </sheetViews>
  <sheetFormatPr defaultRowHeight="14.4" x14ac:dyDescent="0.3"/>
  <cols>
    <col min="1" max="1" width="9.33203125" customWidth="1"/>
    <col min="2" max="2" width="14.6640625" customWidth="1"/>
    <col min="3" max="3" width="19.44140625" customWidth="1"/>
    <col min="4" max="4" width="11.44140625" customWidth="1"/>
    <col min="5" max="5" width="11.109375" customWidth="1"/>
    <col min="7" max="7" width="11.6640625" customWidth="1"/>
    <col min="8" max="8" width="12.109375" customWidth="1"/>
    <col min="9" max="9" width="17" customWidth="1"/>
    <col min="10" max="11" width="9.88671875" customWidth="1"/>
  </cols>
  <sheetData>
    <row r="1" spans="1:11" ht="18" x14ac:dyDescent="0.3">
      <c r="A1" s="13" t="s">
        <v>105</v>
      </c>
      <c r="B1" s="13"/>
      <c r="C1" s="13"/>
      <c r="D1" s="13"/>
      <c r="E1" s="13"/>
    </row>
    <row r="3" spans="1:11" ht="28.8" x14ac:dyDescent="0.3">
      <c r="A3" s="3" t="s">
        <v>38</v>
      </c>
      <c r="B3" s="3" t="s">
        <v>87</v>
      </c>
      <c r="C3" s="3" t="s">
        <v>92</v>
      </c>
      <c r="D3" s="3" t="s">
        <v>95</v>
      </c>
      <c r="E3" s="3" t="s">
        <v>99</v>
      </c>
      <c r="G3" s="3" t="s">
        <v>106</v>
      </c>
      <c r="H3" s="3" t="s">
        <v>87</v>
      </c>
      <c r="I3" s="3" t="s">
        <v>92</v>
      </c>
      <c r="J3" s="3" t="s">
        <v>95</v>
      </c>
      <c r="K3" s="3" t="s">
        <v>99</v>
      </c>
    </row>
    <row r="4" spans="1:11" x14ac:dyDescent="0.3">
      <c r="A4" s="15">
        <v>1</v>
      </c>
      <c r="B4" s="16">
        <v>37.4</v>
      </c>
      <c r="C4" s="16">
        <v>78.25</v>
      </c>
      <c r="D4" s="17">
        <v>453</v>
      </c>
      <c r="E4" s="17">
        <v>118.5</v>
      </c>
      <c r="G4" s="9" t="s">
        <v>107</v>
      </c>
      <c r="H4" s="4">
        <f>AVERAGE(B4:B21)</f>
        <v>33.863888888888887</v>
      </c>
      <c r="I4" s="4">
        <f>AVERAGE(C4:C21)</f>
        <v>97.272222222222226</v>
      </c>
      <c r="J4" s="8">
        <f>AVERAGE(D4:D21)</f>
        <v>683.77777777777783</v>
      </c>
      <c r="K4" s="8">
        <f>AVERAGE(E4:E21)</f>
        <v>215.11111111111111</v>
      </c>
    </row>
    <row r="5" spans="1:11" x14ac:dyDescent="0.3">
      <c r="A5" s="15">
        <v>2</v>
      </c>
      <c r="B5" s="16">
        <v>33.049999999999997</v>
      </c>
      <c r="C5" s="16">
        <v>96.6</v>
      </c>
      <c r="D5" s="17">
        <v>409.5</v>
      </c>
      <c r="E5" s="17">
        <v>154.5</v>
      </c>
      <c r="G5" s="9" t="s">
        <v>108</v>
      </c>
      <c r="H5" s="4">
        <f>MIN(B4:B21)</f>
        <v>31.7</v>
      </c>
      <c r="I5" s="4">
        <f>MIN(C4:C21)</f>
        <v>78.25</v>
      </c>
      <c r="J5" s="8">
        <f>MIN(D4:D21)</f>
        <v>400</v>
      </c>
      <c r="K5" s="8">
        <f>MIN(E4:E21)</f>
        <v>1.5</v>
      </c>
    </row>
    <row r="6" spans="1:11" x14ac:dyDescent="0.3">
      <c r="A6" s="15">
        <v>3</v>
      </c>
      <c r="B6" s="16">
        <v>33.65</v>
      </c>
      <c r="C6" s="16">
        <v>94.3</v>
      </c>
      <c r="D6" s="17">
        <v>443</v>
      </c>
      <c r="E6" s="17">
        <v>101.5</v>
      </c>
      <c r="G6" s="9" t="s">
        <v>109</v>
      </c>
      <c r="H6" s="4">
        <f>MAX(B4:B21)</f>
        <v>37.4</v>
      </c>
      <c r="I6" s="4">
        <f>MAX(C4:C21)</f>
        <v>100</v>
      </c>
      <c r="J6" s="8">
        <f>MAX(D4:D21)</f>
        <v>1605</v>
      </c>
      <c r="K6" s="8">
        <f>MAX(E4:E21)</f>
        <v>1028.5</v>
      </c>
    </row>
    <row r="7" spans="1:11" ht="28.8" x14ac:dyDescent="0.3">
      <c r="A7" s="15">
        <v>4</v>
      </c>
      <c r="B7" s="16">
        <v>31.7</v>
      </c>
      <c r="C7" s="16">
        <v>100</v>
      </c>
      <c r="D7" s="17">
        <v>457.5</v>
      </c>
      <c r="E7" s="17">
        <v>140</v>
      </c>
      <c r="G7" s="9" t="s">
        <v>110</v>
      </c>
      <c r="H7" t="s">
        <v>90</v>
      </c>
      <c r="I7" t="s">
        <v>90</v>
      </c>
      <c r="J7" t="s">
        <v>90</v>
      </c>
      <c r="K7" t="s">
        <v>90</v>
      </c>
    </row>
    <row r="8" spans="1:11" x14ac:dyDescent="0.3">
      <c r="A8" s="15">
        <v>5</v>
      </c>
      <c r="B8" s="16">
        <v>32.85</v>
      </c>
      <c r="C8" s="16">
        <v>98.15</v>
      </c>
      <c r="D8" s="17">
        <v>527.5</v>
      </c>
      <c r="E8" s="17">
        <v>226.5</v>
      </c>
    </row>
    <row r="9" spans="1:11" x14ac:dyDescent="0.3">
      <c r="A9" s="15">
        <v>6</v>
      </c>
      <c r="B9" s="16">
        <v>34.6</v>
      </c>
      <c r="C9" s="16">
        <v>93.15</v>
      </c>
      <c r="D9" s="17">
        <v>449</v>
      </c>
      <c r="E9" s="17">
        <v>26</v>
      </c>
    </row>
    <row r="10" spans="1:11" x14ac:dyDescent="0.3">
      <c r="A10" s="15">
        <v>7</v>
      </c>
      <c r="B10" s="16">
        <v>33.85</v>
      </c>
      <c r="C10" s="16">
        <v>99.1</v>
      </c>
      <c r="D10" s="17">
        <v>517</v>
      </c>
      <c r="E10" s="17">
        <v>229.5</v>
      </c>
    </row>
    <row r="11" spans="1:11" x14ac:dyDescent="0.3">
      <c r="A11" s="15">
        <v>8</v>
      </c>
      <c r="B11" s="16">
        <v>33.049999999999997</v>
      </c>
      <c r="C11" s="16">
        <v>99.15</v>
      </c>
      <c r="D11" s="17">
        <v>400</v>
      </c>
      <c r="E11" s="17">
        <v>1.5</v>
      </c>
    </row>
    <row r="12" spans="1:11" x14ac:dyDescent="0.3">
      <c r="A12" s="15">
        <v>9</v>
      </c>
      <c r="B12" s="16">
        <v>34.4</v>
      </c>
      <c r="C12" s="16">
        <v>97.4</v>
      </c>
      <c r="D12" s="17">
        <v>599</v>
      </c>
      <c r="E12" s="17">
        <v>368</v>
      </c>
    </row>
    <row r="13" spans="1:11" x14ac:dyDescent="0.3">
      <c r="A13" s="15">
        <v>10</v>
      </c>
      <c r="B13" s="16">
        <v>33.5</v>
      </c>
      <c r="C13" s="16">
        <v>100</v>
      </c>
      <c r="D13" s="17">
        <v>657.5</v>
      </c>
      <c r="E13" s="17">
        <v>9</v>
      </c>
    </row>
    <row r="14" spans="1:11" x14ac:dyDescent="0.3">
      <c r="A14" s="15">
        <v>11</v>
      </c>
      <c r="B14" s="16">
        <v>33.200000000000003</v>
      </c>
      <c r="C14" s="16">
        <v>97.9</v>
      </c>
      <c r="D14" s="17">
        <v>1439</v>
      </c>
      <c r="E14" s="17">
        <v>1028.5</v>
      </c>
    </row>
    <row r="15" spans="1:11" x14ac:dyDescent="0.3">
      <c r="A15" s="15">
        <v>12</v>
      </c>
      <c r="B15" s="16">
        <v>33.4</v>
      </c>
      <c r="C15" s="16">
        <v>100</v>
      </c>
      <c r="D15" s="17">
        <v>1605</v>
      </c>
      <c r="E15" s="17">
        <v>743</v>
      </c>
    </row>
    <row r="16" spans="1:11" x14ac:dyDescent="0.3">
      <c r="A16" s="15">
        <v>13</v>
      </c>
      <c r="B16" s="16">
        <v>34.299999999999997</v>
      </c>
      <c r="C16" s="16">
        <v>96.9</v>
      </c>
      <c r="D16" s="17">
        <v>1050.5</v>
      </c>
      <c r="E16" s="17">
        <v>483</v>
      </c>
    </row>
    <row r="17" spans="1:5" x14ac:dyDescent="0.3">
      <c r="A17" s="15">
        <v>14</v>
      </c>
      <c r="B17" s="16">
        <v>34.25</v>
      </c>
      <c r="C17" s="16">
        <v>100</v>
      </c>
      <c r="D17" s="17">
        <v>735.5</v>
      </c>
      <c r="E17" s="17">
        <v>121</v>
      </c>
    </row>
    <row r="18" spans="1:5" x14ac:dyDescent="0.3">
      <c r="A18" s="15">
        <v>15</v>
      </c>
      <c r="B18" s="16">
        <v>34.049999999999997</v>
      </c>
      <c r="C18" s="16">
        <v>100</v>
      </c>
      <c r="D18" s="17">
        <v>940.5</v>
      </c>
      <c r="E18" s="17">
        <v>61.5</v>
      </c>
    </row>
    <row r="19" spans="1:5" x14ac:dyDescent="0.3">
      <c r="A19" s="15">
        <v>16</v>
      </c>
      <c r="B19" s="16">
        <v>34.5</v>
      </c>
      <c r="C19" s="16">
        <v>100</v>
      </c>
      <c r="D19" s="17">
        <v>459</v>
      </c>
      <c r="E19" s="17">
        <v>4.5</v>
      </c>
    </row>
    <row r="20" spans="1:5" x14ac:dyDescent="0.3">
      <c r="A20" s="15">
        <v>17</v>
      </c>
      <c r="B20" s="16">
        <v>34</v>
      </c>
      <c r="C20" s="16">
        <v>100</v>
      </c>
      <c r="D20" s="17">
        <v>503.5</v>
      </c>
      <c r="E20" s="17">
        <v>35.5</v>
      </c>
    </row>
    <row r="21" spans="1:5" x14ac:dyDescent="0.3">
      <c r="A21" s="15">
        <v>18</v>
      </c>
      <c r="B21" s="16">
        <v>33.799999999999997</v>
      </c>
      <c r="C21" s="16">
        <v>100</v>
      </c>
      <c r="D21" s="17">
        <v>662</v>
      </c>
      <c r="E21" s="17">
        <v>20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tabSelected="1" workbookViewId="0">
      <selection activeCell="H5" sqref="H5"/>
    </sheetView>
  </sheetViews>
  <sheetFormatPr defaultRowHeight="14.4" x14ac:dyDescent="0.3"/>
  <cols>
    <col min="1" max="1" width="8.88671875" customWidth="1"/>
    <col min="2" max="2" width="6" customWidth="1"/>
    <col min="3" max="3" width="6.109375" customWidth="1"/>
    <col min="4" max="4" width="6" customWidth="1"/>
    <col min="5" max="5" width="10" customWidth="1"/>
    <col min="6" max="6" width="15.33203125" customWidth="1"/>
    <col min="7" max="7" width="10.6640625" customWidth="1"/>
    <col min="8" max="8" width="9.88671875" customWidth="1"/>
    <col min="9" max="9" width="11.109375" customWidth="1"/>
  </cols>
  <sheetData>
    <row r="1" spans="1:9" ht="18" x14ac:dyDescent="0.3">
      <c r="A1" s="13" t="s">
        <v>111</v>
      </c>
      <c r="B1" s="13"/>
      <c r="C1" s="13"/>
      <c r="D1" s="13"/>
      <c r="E1" s="13"/>
      <c r="F1" s="13"/>
      <c r="G1" s="13"/>
      <c r="H1" s="13"/>
      <c r="I1" s="13"/>
    </row>
    <row r="3" spans="1:9" ht="28.8" x14ac:dyDescent="0.3">
      <c r="A3" s="3" t="s">
        <v>38</v>
      </c>
      <c r="B3" s="3" t="s">
        <v>43</v>
      </c>
      <c r="C3" s="3" t="s">
        <v>48</v>
      </c>
      <c r="D3" s="3" t="s">
        <v>50</v>
      </c>
      <c r="E3" s="3" t="s">
        <v>52</v>
      </c>
      <c r="F3" s="3" t="s">
        <v>56</v>
      </c>
      <c r="G3" s="3" t="s">
        <v>60</v>
      </c>
      <c r="H3" s="3" t="s">
        <v>64</v>
      </c>
      <c r="I3" s="3" t="s">
        <v>67</v>
      </c>
    </row>
    <row r="4" spans="1:9" x14ac:dyDescent="0.3">
      <c r="A4" s="15">
        <f>RGB_Descriptors!A4</f>
        <v>1</v>
      </c>
      <c r="B4" s="10">
        <f>RGB_Descriptors!B4/RGB_Descriptors!B$4</f>
        <v>1</v>
      </c>
      <c r="C4" s="10">
        <f>RGB_Descriptors!C4/RGB_Descriptors!C$4</f>
        <v>1</v>
      </c>
      <c r="D4" s="10">
        <f>RGB_Descriptors!D4/RGB_Descriptors!D$4</f>
        <v>1</v>
      </c>
      <c r="E4" s="10">
        <f>RGB_Descriptors!E4/RGB_Descriptors!E$4</f>
        <v>1</v>
      </c>
      <c r="F4" s="10">
        <f>RGB_Descriptors!F4/RGB_Descriptors!F$4</f>
        <v>1</v>
      </c>
      <c r="G4" s="10">
        <f>RGB_Descriptors!G4/RGB_Descriptors!G$4</f>
        <v>1</v>
      </c>
      <c r="H4" s="10">
        <f>RGB_Descriptors!H4/RGB_Descriptors!H$4</f>
        <v>1</v>
      </c>
      <c r="I4" s="10">
        <f>RGB_Descriptors!I4/RGB_Descriptors!I$4</f>
        <v>1</v>
      </c>
    </row>
    <row r="5" spans="1:9" x14ac:dyDescent="0.3">
      <c r="A5" s="15">
        <f>RGB_Descriptors!A5</f>
        <v>2</v>
      </c>
      <c r="B5" s="10">
        <f>RGB_Descriptors!B5/RGB_Descriptors!B$4</f>
        <v>1.0329053780832995</v>
      </c>
      <c r="C5" s="10">
        <f>RGB_Descriptors!C5/RGB_Descriptors!C$4</f>
        <v>1.0202702702702702</v>
      </c>
      <c r="D5" s="10">
        <f>RGB_Descriptors!D5/RGB_Descriptors!D$4</f>
        <v>1.1282051282051282</v>
      </c>
      <c r="E5" s="10">
        <f>RGB_Descriptors!E5/RGB_Descriptors!E$4</f>
        <v>1.0251180764276513</v>
      </c>
      <c r="F5" s="10">
        <f>RGB_Descriptors!F5/RGB_Descriptors!F$4</f>
        <v>1.044933552144673</v>
      </c>
      <c r="G5" s="10">
        <f>RGB_Descriptors!G5/RGB_Descriptors!G$4</f>
        <v>1.0338345864661653</v>
      </c>
      <c r="H5" s="10">
        <f>RGB_Descriptors!H5/RGB_Descriptors!H$4</f>
        <v>1</v>
      </c>
      <c r="I5" s="10">
        <f>RGB_Descriptors!I5/RGB_Descriptors!I$4</f>
        <v>1.0041412911084044</v>
      </c>
    </row>
    <row r="6" spans="1:9" x14ac:dyDescent="0.3">
      <c r="A6" s="15">
        <f>RGB_Descriptors!A6</f>
        <v>3</v>
      </c>
      <c r="B6" s="10">
        <f>RGB_Descriptors!B6/RGB_Descriptors!B$4</f>
        <v>1.004296401132228</v>
      </c>
      <c r="C6" s="10">
        <f>RGB_Descriptors!C6/RGB_Descriptors!C$4</f>
        <v>0.88667076167076164</v>
      </c>
      <c r="D6" s="10">
        <f>RGB_Descriptors!D6/RGB_Descriptors!D$4</f>
        <v>1.0436847103513769</v>
      </c>
      <c r="E6" s="10">
        <f>RGB_Descriptors!E6/RGB_Descriptors!E$4</f>
        <v>1.0286603692571918</v>
      </c>
      <c r="F6" s="10">
        <f>RGB_Descriptors!F6/RGB_Descriptors!F$4</f>
        <v>1.0228207355922387</v>
      </c>
      <c r="G6" s="10">
        <f>RGB_Descriptors!G6/RGB_Descriptors!G$4</f>
        <v>1.0112781954887218</v>
      </c>
      <c r="H6" s="10">
        <f>RGB_Descriptors!H6/RGB_Descriptors!H$4</f>
        <v>1</v>
      </c>
      <c r="I6" s="10">
        <f>RGB_Descriptors!I6/RGB_Descriptors!I$4</f>
        <v>0.98172959805115712</v>
      </c>
    </row>
    <row r="7" spans="1:9" x14ac:dyDescent="0.3">
      <c r="A7" s="15">
        <f>RGB_Descriptors!A7</f>
        <v>4</v>
      </c>
      <c r="B7" s="10">
        <f>RGB_Descriptors!B7/RGB_Descriptors!B$4</f>
        <v>1.0405378083299637</v>
      </c>
      <c r="C7" s="10">
        <f>RGB_Descriptors!C7/RGB_Descriptors!C$4</f>
        <v>0.90397215397215391</v>
      </c>
      <c r="D7" s="10">
        <f>RGB_Descriptors!D7/RGB_Descriptors!D$4</f>
        <v>1.2120924343146564</v>
      </c>
      <c r="E7" s="10">
        <f>RGB_Descriptors!E7/RGB_Descriptors!E$4</f>
        <v>1.0471232288535852</v>
      </c>
      <c r="F7" s="10">
        <f>RGB_Descriptors!F7/RGB_Descriptors!F$4</f>
        <v>1.0273900312127939</v>
      </c>
      <c r="G7" s="10">
        <f>RGB_Descriptors!G7/RGB_Descriptors!G$4</f>
        <v>1.0112781954887218</v>
      </c>
      <c r="H7" s="10">
        <f>RGB_Descriptors!H7/RGB_Descriptors!H$4</f>
        <v>1</v>
      </c>
      <c r="I7" s="10">
        <f>RGB_Descriptors!I7/RGB_Descriptors!I$4</f>
        <v>1.0046285018270402</v>
      </c>
    </row>
    <row r="8" spans="1:9" x14ac:dyDescent="0.3">
      <c r="A8" s="15">
        <f>RGB_Descriptors!A8</f>
        <v>5</v>
      </c>
      <c r="B8" s="10">
        <f>RGB_Descriptors!B8/RGB_Descriptors!B$4</f>
        <v>0.87515163768701976</v>
      </c>
      <c r="C8" s="10">
        <f>RGB_Descriptors!C8/RGB_Descriptors!C$4</f>
        <v>0.63595413595413586</v>
      </c>
      <c r="D8" s="10">
        <f>RGB_Descriptors!D8/RGB_Descriptors!D$4</f>
        <v>0.76606521050965493</v>
      </c>
      <c r="E8" s="10">
        <f>RGB_Descriptors!E8/RGB_Descriptors!E$4</f>
        <v>0.97466723915843712</v>
      </c>
      <c r="F8" s="10">
        <f>RGB_Descriptors!F8/RGB_Descriptors!F$4</f>
        <v>1.153129323937317</v>
      </c>
      <c r="G8" s="10">
        <f>RGB_Descriptors!G8/RGB_Descriptors!G$4</f>
        <v>1.0902255639097744</v>
      </c>
      <c r="H8" s="10">
        <f>RGB_Descriptors!H8/RGB_Descriptors!H$4</f>
        <v>1</v>
      </c>
      <c r="I8" s="10">
        <f>RGB_Descriptors!I8/RGB_Descriptors!I$4</f>
        <v>0.97904993909866023</v>
      </c>
    </row>
    <row r="9" spans="1:9" x14ac:dyDescent="0.3">
      <c r="A9" s="15">
        <f>RGB_Descriptors!A9</f>
        <v>6</v>
      </c>
      <c r="B9" s="10">
        <f>RGB_Descriptors!B9/RGB_Descriptors!B$4</f>
        <v>1.0523150020218357</v>
      </c>
      <c r="C9" s="10">
        <f>RGB_Descriptors!C9/RGB_Descriptors!C$4</f>
        <v>0.88503276003275999</v>
      </c>
      <c r="D9" s="10">
        <f>RGB_Descriptors!D9/RGB_Descriptors!D$4</f>
        <v>1.0867363089585311</v>
      </c>
      <c r="E9" s="10">
        <f>RGB_Descriptors!E9/RGB_Descriptors!E$4</f>
        <v>1.051094890510949</v>
      </c>
      <c r="F9" s="10">
        <f>RGB_Descriptors!F9/RGB_Descriptors!F$4</f>
        <v>0.94971844129098693</v>
      </c>
      <c r="G9" s="10">
        <f>RGB_Descriptors!G9/RGB_Descriptors!G$4</f>
        <v>0.94172932330827064</v>
      </c>
      <c r="H9" s="10">
        <f>RGB_Descriptors!H9/RGB_Descriptors!H$4</f>
        <v>0.99989993996397841</v>
      </c>
      <c r="I9" s="10">
        <f>RGB_Descriptors!I9/RGB_Descriptors!I$4</f>
        <v>0.9084043848964678</v>
      </c>
    </row>
    <row r="10" spans="1:9" x14ac:dyDescent="0.3">
      <c r="A10" s="15">
        <f>RGB_Descriptors!A10</f>
        <v>7</v>
      </c>
      <c r="B10" s="10">
        <f>RGB_Descriptors!B10/RGB_Descriptors!B$4</f>
        <v>1.038364334816013</v>
      </c>
      <c r="C10" s="10">
        <f>RGB_Descriptors!C10/RGB_Descriptors!C$4</f>
        <v>0.89516789516789508</v>
      </c>
      <c r="D10" s="10">
        <f>RGB_Descriptors!D10/RGB_Descriptors!D$4</f>
        <v>1.1965811965811965</v>
      </c>
      <c r="E10" s="10">
        <f>RGB_Descriptors!E10/RGB_Descriptors!E$4</f>
        <v>1.0009660798626021</v>
      </c>
      <c r="F10" s="10">
        <f>RGB_Descriptors!F10/RGB_Descriptors!F$4</f>
        <v>1.1173150561508511</v>
      </c>
      <c r="G10" s="10">
        <f>RGB_Descriptors!G10/RGB_Descriptors!G$4</f>
        <v>1.0526315789473684</v>
      </c>
      <c r="H10" s="10">
        <f>RGB_Descriptors!H10/RGB_Descriptors!H$4</f>
        <v>0.99979987992795682</v>
      </c>
      <c r="I10" s="10">
        <f>RGB_Descriptors!I10/RGB_Descriptors!I$4</f>
        <v>0.86114494518879425</v>
      </c>
    </row>
    <row r="11" spans="1:9" x14ac:dyDescent="0.3">
      <c r="A11" s="15">
        <f>RGB_Descriptors!A11</f>
        <v>8</v>
      </c>
      <c r="B11" s="10">
        <f>RGB_Descriptors!B11/RGB_Descriptors!B$4</f>
        <v>0.96709462191670037</v>
      </c>
      <c r="C11" s="10">
        <f>RGB_Descriptors!C11/RGB_Descriptors!C$4</f>
        <v>0.86875511875511868</v>
      </c>
      <c r="D11" s="10">
        <f>RGB_Descriptors!D11/RGB_Descriptors!D$4</f>
        <v>1.2924976258309591</v>
      </c>
      <c r="E11" s="10">
        <f>RGB_Descriptors!E11/RGB_Descriptors!E$4</f>
        <v>0.97080291970802923</v>
      </c>
      <c r="F11" s="10">
        <f>RGB_Descriptors!F11/RGB_Descriptors!F$4</f>
        <v>1.0708691315120507</v>
      </c>
      <c r="G11" s="10">
        <f>RGB_Descriptors!G11/RGB_Descriptors!G$4</f>
        <v>1.0469924812030076</v>
      </c>
      <c r="H11" s="10">
        <f>RGB_Descriptors!H11/RGB_Descriptors!H$4</f>
        <v>1</v>
      </c>
      <c r="I11" s="10">
        <f>RGB_Descriptors!I11/RGB_Descriptors!I$4</f>
        <v>1.0092570036540804</v>
      </c>
    </row>
    <row r="12" spans="1:9" x14ac:dyDescent="0.3">
      <c r="A12" s="15">
        <f>RGB_Descriptors!A12</f>
        <v>9</v>
      </c>
      <c r="B12" s="10">
        <f>RGB_Descriptors!B12/RGB_Descriptors!B$4</f>
        <v>1.0003032753740397</v>
      </c>
      <c r="C12" s="10">
        <f>RGB_Descriptors!C12/RGB_Descriptors!C$4</f>
        <v>0.94850532350532346</v>
      </c>
      <c r="D12" s="10">
        <f>RGB_Descriptors!D12/RGB_Descriptors!D$4</f>
        <v>1.4004431782209561</v>
      </c>
      <c r="E12" s="10">
        <f>RGB_Descriptors!E12/RGB_Descriptors!E$4</f>
        <v>0.9668312580506655</v>
      </c>
      <c r="F12" s="10">
        <f>RGB_Descriptors!F12/RGB_Descriptors!F$4</f>
        <v>1.0979695594812884</v>
      </c>
      <c r="G12" s="10">
        <f>RGB_Descriptors!G12/RGB_Descriptors!G$4</f>
        <v>1.0601503759398494</v>
      </c>
      <c r="H12" s="10">
        <f>RGB_Descriptors!H12/RGB_Descriptors!H$4</f>
        <v>1</v>
      </c>
      <c r="I12" s="10">
        <f>RGB_Descriptors!I12/RGB_Descriptors!I$4</f>
        <v>0.95663824604141301</v>
      </c>
    </row>
    <row r="13" spans="1:9" x14ac:dyDescent="0.3">
      <c r="A13" s="15">
        <f>RGB_Descriptors!A13</f>
        <v>10</v>
      </c>
      <c r="B13" s="10">
        <f>RGB_Descriptors!B13/RGB_Descriptors!B$4</f>
        <v>0.92878083299636072</v>
      </c>
      <c r="C13" s="10">
        <f>RGB_Descriptors!C13/RGB_Descriptors!C$4</f>
        <v>0.89107289107289112</v>
      </c>
      <c r="D13" s="10">
        <f>RGB_Descriptors!D13/RGB_Descriptors!D$4</f>
        <v>1.3137068692624247</v>
      </c>
      <c r="E13" s="10">
        <f>RGB_Descriptors!E13/RGB_Descriptors!E$4</f>
        <v>0.93001288106483471</v>
      </c>
      <c r="F13" s="10">
        <f>RGB_Descriptors!F13/RGB_Descriptors!F$4</f>
        <v>1.1506387360427326</v>
      </c>
      <c r="G13" s="10">
        <f>RGB_Descriptors!G13/RGB_Descriptors!G$4</f>
        <v>1.0902255639097744</v>
      </c>
      <c r="H13" s="10">
        <f>RGB_Descriptors!H13/RGB_Descriptors!H$4</f>
        <v>0.99989993996397841</v>
      </c>
      <c r="I13" s="10">
        <f>RGB_Descriptors!I13/RGB_Descriptors!I$4</f>
        <v>0.91814859926918391</v>
      </c>
    </row>
    <row r="14" spans="1:9" x14ac:dyDescent="0.3">
      <c r="A14" s="15">
        <f>RGB_Descriptors!A14</f>
        <v>11</v>
      </c>
      <c r="B14" s="10">
        <f>RGB_Descriptors!B14/RGB_Descriptors!B$4</f>
        <v>0.83921350586332388</v>
      </c>
      <c r="C14" s="10">
        <f>RGB_Descriptors!C14/RGB_Descriptors!C$4</f>
        <v>0.81480343980343983</v>
      </c>
      <c r="D14" s="10">
        <f>RGB_Descriptors!D14/RGB_Descriptors!D$4</f>
        <v>1.3244697689142135</v>
      </c>
      <c r="E14" s="10">
        <f>RGB_Descriptors!E14/RGB_Descriptors!E$4</f>
        <v>0.86249463288965222</v>
      </c>
      <c r="F14" s="10">
        <f>RGB_Descriptors!F14/RGB_Descriptors!F$4</f>
        <v>1.0914631399427228</v>
      </c>
      <c r="G14" s="10">
        <f>RGB_Descriptors!G14/RGB_Descriptors!G$4</f>
        <v>1.0526315789473684</v>
      </c>
      <c r="H14" s="10">
        <f>RGB_Descriptors!H14/RGB_Descriptors!H$4</f>
        <v>1</v>
      </c>
      <c r="I14" s="10">
        <f>RGB_Descriptors!I14/RGB_Descriptors!I$4</f>
        <v>0.9646772228989039</v>
      </c>
    </row>
    <row r="15" spans="1:9" x14ac:dyDescent="0.3">
      <c r="A15" s="15">
        <f>RGB_Descriptors!A15</f>
        <v>12</v>
      </c>
      <c r="B15" s="10">
        <f>RGB_Descriptors!B15/RGB_Descriptors!B$4</f>
        <v>0.77036999595632827</v>
      </c>
      <c r="C15" s="10">
        <f>RGB_Descriptors!C15/RGB_Descriptors!C$4</f>
        <v>0.78132678132678124</v>
      </c>
      <c r="D15" s="10">
        <f>RGB_Descriptors!D15/RGB_Descriptors!D$4</f>
        <v>1.3130737575182019</v>
      </c>
      <c r="E15" s="10">
        <f>RGB_Descriptors!E15/RGB_Descriptors!E$4</f>
        <v>0.83748389866895667</v>
      </c>
      <c r="F15" s="10">
        <f>RGB_Descriptors!F15/RGB_Descriptors!F$4</f>
        <v>0.67675773079769608</v>
      </c>
      <c r="G15" s="10">
        <f>RGB_Descriptors!G15/RGB_Descriptors!G$4</f>
        <v>0.73120300751879697</v>
      </c>
      <c r="H15" s="10">
        <f>RGB_Descriptors!H15/RGB_Descriptors!H$4</f>
        <v>1</v>
      </c>
      <c r="I15" s="10">
        <f>RGB_Descriptors!I15/RGB_Descriptors!I$4</f>
        <v>1.0012180267965896</v>
      </c>
    </row>
    <row r="16" spans="1:9" x14ac:dyDescent="0.3">
      <c r="A16" s="15">
        <f>RGB_Descriptors!A16</f>
        <v>13</v>
      </c>
      <c r="B16" s="10">
        <f>RGB_Descriptors!B16/RGB_Descriptors!B$4</f>
        <v>0.738829357056207</v>
      </c>
      <c r="C16" s="10">
        <f>RGB_Descriptors!C16/RGB_Descriptors!C$4</f>
        <v>0.75327600327600319</v>
      </c>
      <c r="D16" s="10">
        <f>RGB_Descriptors!D16/RGB_Descriptors!D$4</f>
        <v>1.3383982272871162</v>
      </c>
      <c r="E16" s="10">
        <f>RGB_Descriptors!E16/RGB_Descriptors!E$4</f>
        <v>0.78284671532846728</v>
      </c>
      <c r="F16" s="10">
        <f>RGB_Descriptors!F16/RGB_Descriptors!F$4</f>
        <v>0.67312160118415554</v>
      </c>
      <c r="G16" s="10">
        <f>RGB_Descriptors!G16/RGB_Descriptors!G$4</f>
        <v>0.72180451127819545</v>
      </c>
      <c r="H16" s="10">
        <f>RGB_Descriptors!H16/RGB_Descriptors!H$4</f>
        <v>0.99989993996397841</v>
      </c>
      <c r="I16" s="10">
        <f>RGB_Descriptors!I16/RGB_Descriptors!I$4</f>
        <v>0.9490864799025579</v>
      </c>
    </row>
    <row r="17" spans="1:9" x14ac:dyDescent="0.3">
      <c r="A17" s="15">
        <f>RGB_Descriptors!A17</f>
        <v>14</v>
      </c>
      <c r="B17" s="10">
        <f>RGB_Descriptors!B17/RGB_Descriptors!B$4</f>
        <v>0.69379296401132218</v>
      </c>
      <c r="C17" s="10">
        <f>RGB_Descriptors!C17/RGB_Descriptors!C$4</f>
        <v>0.74498361998361984</v>
      </c>
      <c r="D17" s="10">
        <f>RGB_Descriptors!D17/RGB_Descriptors!D$4</f>
        <v>1.3000949667616335</v>
      </c>
      <c r="E17" s="10">
        <f>RGB_Descriptors!E17/RGB_Descriptors!E$4</f>
        <v>0.74742378703306134</v>
      </c>
      <c r="F17" s="10">
        <f>RGB_Descriptors!F17/RGB_Descriptors!F$4</f>
        <v>0.72398236638028124</v>
      </c>
      <c r="G17" s="10">
        <f>RGB_Descriptors!G17/RGB_Descriptors!G$4</f>
        <v>0.77255639097744366</v>
      </c>
      <c r="H17" s="10">
        <f>RGB_Descriptors!H17/RGB_Descriptors!H$4</f>
        <v>1</v>
      </c>
      <c r="I17" s="10">
        <f>RGB_Descriptors!I17/RGB_Descriptors!I$4</f>
        <v>1.0233861144945189</v>
      </c>
    </row>
    <row r="18" spans="1:9" x14ac:dyDescent="0.3">
      <c r="A18" s="15">
        <f>RGB_Descriptors!A18</f>
        <v>15</v>
      </c>
      <c r="B18" s="10">
        <f>RGB_Descriptors!B18/RGB_Descriptors!B$4</f>
        <v>0.68610998786898503</v>
      </c>
      <c r="C18" s="10">
        <f>RGB_Descriptors!C18/RGB_Descriptors!C$4</f>
        <v>0.773034398034398</v>
      </c>
      <c r="D18" s="10">
        <f>RGB_Descriptors!D18/RGB_Descriptors!D$4</f>
        <v>1.4704020259575816</v>
      </c>
      <c r="E18" s="10">
        <f>RGB_Descriptors!E18/RGB_Descriptors!E$4</f>
        <v>0.73261056247316447</v>
      </c>
      <c r="F18" s="10">
        <f>RGB_Descriptors!F18/RGB_Descriptors!F$4</f>
        <v>0.68344434791002995</v>
      </c>
      <c r="G18" s="10">
        <f>RGB_Descriptors!G18/RGB_Descriptors!G$4</f>
        <v>0.73872180451127822</v>
      </c>
      <c r="H18" s="10">
        <f>RGB_Descriptors!H18/RGB_Descriptors!H$4</f>
        <v>1</v>
      </c>
      <c r="I18" s="10">
        <f>RGB_Descriptors!I18/RGB_Descriptors!I$4</f>
        <v>1.03605359317905</v>
      </c>
    </row>
    <row r="19" spans="1:9" x14ac:dyDescent="0.3">
      <c r="A19" s="15">
        <f>RGB_Descriptors!A19</f>
        <v>16</v>
      </c>
      <c r="B19" s="10">
        <f>RGB_Descriptors!B19/RGB_Descriptors!B$4</f>
        <v>0.61175697533360296</v>
      </c>
      <c r="C19" s="10">
        <f>RGB_Descriptors!C19/RGB_Descriptors!C$4</f>
        <v>0.71764946764946758</v>
      </c>
      <c r="D19" s="10">
        <f>RGB_Descriptors!D19/RGB_Descriptors!D$4</f>
        <v>1.4431782209559989</v>
      </c>
      <c r="E19" s="10">
        <f>RGB_Descriptors!E19/RGB_Descriptors!E$4</f>
        <v>0.62355088020609706</v>
      </c>
      <c r="F19" s="10">
        <f>RGB_Descriptors!F19/RGB_Descriptors!F$4</f>
        <v>0.71910416063326577</v>
      </c>
      <c r="G19" s="10">
        <f>RGB_Descriptors!G19/RGB_Descriptors!G$4</f>
        <v>0.76503759398496241</v>
      </c>
      <c r="H19" s="10">
        <f>RGB_Descriptors!H19/RGB_Descriptors!H$4</f>
        <v>1</v>
      </c>
      <c r="I19" s="10">
        <f>RGB_Descriptors!I19/RGB_Descriptors!I$4</f>
        <v>1.0328867235079171</v>
      </c>
    </row>
    <row r="20" spans="1:9" x14ac:dyDescent="0.3">
      <c r="A20" s="15">
        <f>RGB_Descriptors!A20</f>
        <v>17</v>
      </c>
      <c r="B20" s="10">
        <f>RGB_Descriptors!B20/RGB_Descriptors!B$4</f>
        <v>0.62125960372017786</v>
      </c>
      <c r="C20" s="10">
        <f>RGB_Descriptors!C20/RGB_Descriptors!C$4</f>
        <v>0.7793816543816543</v>
      </c>
      <c r="D20" s="10">
        <f>RGB_Descriptors!D20/RGB_Descriptors!D$4</f>
        <v>1.6831275720164609</v>
      </c>
      <c r="E20" s="10">
        <f>RGB_Descriptors!E20/RGB_Descriptors!E$4</f>
        <v>0.6156075568913697</v>
      </c>
      <c r="F20" s="10">
        <f>RGB_Descriptors!F20/RGB_Descriptors!F$4</f>
        <v>0.6790359429803392</v>
      </c>
      <c r="G20" s="10">
        <f>RGB_Descriptors!G20/RGB_Descriptors!G$4</f>
        <v>0.73496240601503759</v>
      </c>
      <c r="H20" s="10">
        <f>RGB_Descriptors!H20/RGB_Descriptors!H$4</f>
        <v>1.0001000600360217</v>
      </c>
      <c r="I20" s="10">
        <f>RGB_Descriptors!I20/RGB_Descriptors!I$4</f>
        <v>1.1271619975639466</v>
      </c>
    </row>
    <row r="21" spans="1:9" x14ac:dyDescent="0.3">
      <c r="A21" s="15">
        <f>RGB_Descriptors!A21</f>
        <v>18</v>
      </c>
      <c r="B21" s="10">
        <f>RGB_Descriptors!B21/RGB_Descriptors!B$4</f>
        <v>0.61377881116053379</v>
      </c>
      <c r="C21" s="10">
        <f>RGB_Descriptors!C21/RGB_Descriptors!C$4</f>
        <v>0.81818181818181812</v>
      </c>
      <c r="D21" s="10">
        <f>RGB_Descriptors!D21/RGB_Descriptors!D$4</f>
        <v>1.8752769863880976</v>
      </c>
      <c r="E21" s="10">
        <f>RGB_Descriptors!E21/RGB_Descriptors!E$4</f>
        <v>0.55603263203091458</v>
      </c>
      <c r="F21" s="10">
        <f>RGB_Descriptors!F21/RGB_Descriptors!F$4</f>
        <v>0.62529201660391931</v>
      </c>
      <c r="G21" s="10">
        <f>RGB_Descriptors!G21/RGB_Descriptors!G$4</f>
        <v>0.68984962406015038</v>
      </c>
      <c r="H21" s="10">
        <f>RGB_Descriptors!H21/RGB_Descriptors!H$4</f>
        <v>1.0002001200720434</v>
      </c>
      <c r="I21" s="10">
        <f>RGB_Descriptors!I21/RGB_Descriptors!I$4</f>
        <v>1.2119366626065775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/>
  </sheetViews>
  <sheetFormatPr defaultRowHeight="14.4" x14ac:dyDescent="0.3"/>
  <cols>
    <col min="1" max="1" width="42.44140625" customWidth="1"/>
    <col min="2" max="2" width="12.33203125" customWidth="1"/>
    <col min="3" max="3" width="14.44140625" customWidth="1"/>
    <col min="4" max="4" width="11.109375" customWidth="1"/>
    <col min="5" max="5" width="16.21875" customWidth="1"/>
    <col min="6" max="6" width="13.77734375" customWidth="1"/>
  </cols>
  <sheetData>
    <row r="1" spans="1:6" ht="18" x14ac:dyDescent="0.3">
      <c r="A1" s="13" t="s">
        <v>112</v>
      </c>
      <c r="B1" s="13"/>
      <c r="C1" s="13"/>
      <c r="D1" s="13"/>
      <c r="E1" s="13"/>
      <c r="F1" s="13"/>
    </row>
    <row r="3" spans="1:6" ht="28.8" x14ac:dyDescent="0.3">
      <c r="A3" s="3" t="s">
        <v>38</v>
      </c>
      <c r="B3" s="3" t="s">
        <v>71</v>
      </c>
      <c r="C3" s="3" t="s">
        <v>75</v>
      </c>
      <c r="D3" s="3" t="s">
        <v>78</v>
      </c>
      <c r="E3" s="3" t="s">
        <v>80</v>
      </c>
      <c r="F3" s="3" t="s">
        <v>82</v>
      </c>
    </row>
    <row r="4" spans="1:6" x14ac:dyDescent="0.3">
      <c r="A4">
        <f>UV_Texture!A4</f>
        <v>1</v>
      </c>
      <c r="B4" s="10">
        <f>UV_Texture!B4/UV_Texture!B$4</f>
        <v>1</v>
      </c>
      <c r="C4" s="10">
        <f>UV_Texture!C4/UV_Texture!C$4</f>
        <v>1</v>
      </c>
      <c r="D4" s="10">
        <f>UV_Texture!D4/UV_Texture!D$4</f>
        <v>1</v>
      </c>
      <c r="E4" s="10">
        <f>UV_Texture!E4/UV_Texture!E$4</f>
        <v>1</v>
      </c>
      <c r="F4" s="10">
        <f>UV_Texture!F4/UV_Texture!F$4</f>
        <v>1</v>
      </c>
    </row>
    <row r="5" spans="1:6" x14ac:dyDescent="0.3">
      <c r="A5">
        <f>UV_Texture!A5</f>
        <v>2</v>
      </c>
      <c r="B5" s="10">
        <f>UV_Texture!B5/UV_Texture!B$4</f>
        <v>0.8945377560834511</v>
      </c>
      <c r="C5" s="10">
        <f>UV_Texture!C5/UV_Texture!C$4</f>
        <v>0.99604953697115051</v>
      </c>
      <c r="D5" s="10">
        <f>UV_Texture!D5/UV_Texture!D$4</f>
        <v>1.0471539059887223</v>
      </c>
      <c r="E5" s="10">
        <f>UV_Texture!E5/UV_Texture!E$4</f>
        <v>1.0011039454146993</v>
      </c>
      <c r="F5" s="10">
        <f>UV_Texture!F5/UV_Texture!F$4</f>
        <v>0.95939167935333913</v>
      </c>
    </row>
    <row r="6" spans="1:6" x14ac:dyDescent="0.3">
      <c r="A6">
        <f>UV_Texture!A6</f>
        <v>3</v>
      </c>
      <c r="B6" s="10">
        <f>UV_Texture!B6/UV_Texture!B$4</f>
        <v>0.33390993732434643</v>
      </c>
      <c r="C6" s="10">
        <f>UV_Texture!C6/UV_Texture!C$4</f>
        <v>1.0102794320436241</v>
      </c>
      <c r="D6" s="10">
        <f>UV_Texture!D6/UV_Texture!D$4</f>
        <v>1.4742709190335745</v>
      </c>
      <c r="E6" s="10">
        <f>UV_Texture!E6/UV_Texture!E$4</f>
        <v>1.0105666092109591</v>
      </c>
      <c r="F6" s="10">
        <f>UV_Texture!F6/UV_Texture!F$4</f>
        <v>0.78759966113362068</v>
      </c>
    </row>
    <row r="7" spans="1:6" x14ac:dyDescent="0.3">
      <c r="A7">
        <f>UV_Texture!A7</f>
        <v>4</v>
      </c>
      <c r="B7" s="10">
        <f>UV_Texture!B7/UV_Texture!B$4</f>
        <v>0.20766460735386066</v>
      </c>
      <c r="C7" s="10">
        <f>UV_Texture!C7/UV_Texture!C$4</f>
        <v>1.0142806192097402</v>
      </c>
      <c r="D7" s="10">
        <f>UV_Texture!D7/UV_Texture!D$4</f>
        <v>1.5121315942494942</v>
      </c>
      <c r="E7" s="10">
        <f>UV_Texture!E7/UV_Texture!E$4</f>
        <v>1.0127080223062512</v>
      </c>
      <c r="F7" s="10">
        <f>UV_Texture!F7/UV_Texture!F$4</f>
        <v>0.76181322729735035</v>
      </c>
    </row>
    <row r="8" spans="1:6" x14ac:dyDescent="0.3">
      <c r="A8">
        <f>UV_Texture!A8</f>
        <v>5</v>
      </c>
      <c r="B8" s="10">
        <f>UV_Texture!B8/UV_Texture!B$4</f>
        <v>0.49419316565206795</v>
      </c>
      <c r="C8" s="10">
        <f>UV_Texture!C8/UV_Texture!C$4</f>
        <v>0.95171574234013767</v>
      </c>
      <c r="D8" s="10">
        <f>UV_Texture!D8/UV_Texture!D$4</f>
        <v>1.5382117853581609</v>
      </c>
      <c r="E8" s="10">
        <f>UV_Texture!E8/UV_Texture!E$4</f>
        <v>1.0082120255095073</v>
      </c>
      <c r="F8" s="10">
        <f>UV_Texture!F8/UV_Texture!F$4</f>
        <v>0.75079320523765947</v>
      </c>
    </row>
    <row r="9" spans="1:6" x14ac:dyDescent="0.3">
      <c r="A9">
        <f>UV_Texture!A9</f>
        <v>6</v>
      </c>
      <c r="B9" s="10">
        <f>UV_Texture!B9/UV_Texture!B$4</f>
        <v>0.77943552340501854</v>
      </c>
      <c r="C9" s="10">
        <f>UV_Texture!C9/UV_Texture!C$4</f>
        <v>0.91011176358886248</v>
      </c>
      <c r="D9" s="10">
        <f>UV_Texture!D9/UV_Texture!D$4</f>
        <v>1.495310514459498</v>
      </c>
      <c r="E9" s="10">
        <f>UV_Texture!E9/UV_Texture!E$4</f>
        <v>1.0033857731100424</v>
      </c>
      <c r="F9" s="10">
        <f>UV_Texture!F9/UV_Texture!F$4</f>
        <v>0.77434187292408285</v>
      </c>
    </row>
    <row r="10" spans="1:6" x14ac:dyDescent="0.3">
      <c r="A10">
        <f>UV_Texture!A10</f>
        <v>7</v>
      </c>
      <c r="B10" s="10">
        <f>UV_Texture!B10/UV_Texture!B$4</f>
        <v>1.2535581851251087</v>
      </c>
      <c r="C10" s="10">
        <f>UV_Texture!C10/UV_Texture!C$4</f>
        <v>0.92280163559106776</v>
      </c>
      <c r="D10" s="10">
        <f>UV_Texture!D10/UV_Texture!D$4</f>
        <v>1.3987356792946468</v>
      </c>
      <c r="E10" s="10">
        <f>UV_Texture!E10/UV_Texture!E$4</f>
        <v>0.99553885482810589</v>
      </c>
      <c r="F10" s="10">
        <f>UV_Texture!F10/UV_Texture!F$4</f>
        <v>0.83658460760375863</v>
      </c>
    </row>
    <row r="11" spans="1:6" x14ac:dyDescent="0.3">
      <c r="A11">
        <f>UV_Texture!A11</f>
        <v>8</v>
      </c>
      <c r="B11" s="10">
        <f>UV_Texture!B11/UV_Texture!B$4</f>
        <v>1.2930909459743349</v>
      </c>
      <c r="C11" s="10">
        <f>UV_Texture!C11/UV_Texture!C$4</f>
        <v>0.88518413762556081</v>
      </c>
      <c r="D11" s="10">
        <f>UV_Texture!D11/UV_Texture!D$4</f>
        <v>1.4015595809083252</v>
      </c>
      <c r="E11" s="10">
        <f>UV_Texture!E11/UV_Texture!E$4</f>
        <v>0.99475473849124196</v>
      </c>
      <c r="F11" s="10">
        <f>UV_Texture!F11/UV_Texture!F$4</f>
        <v>0.82711854793647599</v>
      </c>
    </row>
    <row r="12" spans="1:6" x14ac:dyDescent="0.3">
      <c r="A12">
        <f>UV_Texture!A12</f>
        <v>9</v>
      </c>
      <c r="B12" s="10">
        <f>UV_Texture!B12/UV_Texture!B$4</f>
        <v>1.8457109329203143</v>
      </c>
      <c r="C12" s="10">
        <f>UV_Texture!C12/UV_Texture!C$4</f>
        <v>0.8504190311155343</v>
      </c>
      <c r="D12" s="10">
        <f>UV_Texture!D12/UV_Texture!D$4</f>
        <v>1.3456260962021551</v>
      </c>
      <c r="E12" s="10">
        <f>UV_Texture!E12/UV_Texture!E$4</f>
        <v>0.98643483300100321</v>
      </c>
      <c r="F12" s="10">
        <f>UV_Texture!F12/UV_Texture!F$4</f>
        <v>0.86114592780194443</v>
      </c>
    </row>
    <row r="13" spans="1:6" x14ac:dyDescent="0.3">
      <c r="A13">
        <f>UV_Texture!A13</f>
        <v>10</v>
      </c>
      <c r="B13" s="10">
        <f>UV_Texture!B13/UV_Texture!B$4</f>
        <v>1.2763014411694829</v>
      </c>
      <c r="C13" s="10">
        <f>UV_Texture!C13/UV_Texture!C$4</f>
        <v>0.83063515325174497</v>
      </c>
      <c r="D13" s="10">
        <f>UV_Texture!D13/UV_Texture!D$4</f>
        <v>1.439955356749711</v>
      </c>
      <c r="E13" s="10">
        <f>UV_Texture!E13/UV_Texture!E$4</f>
        <v>0.99477934041531213</v>
      </c>
      <c r="F13" s="10">
        <f>UV_Texture!F13/UV_Texture!F$4</f>
        <v>0.80304204062172235</v>
      </c>
    </row>
    <row r="14" spans="1:6" x14ac:dyDescent="0.3">
      <c r="A14">
        <f>UV_Texture!A14</f>
        <v>11</v>
      </c>
      <c r="B14" s="10">
        <f>UV_Texture!B14/UV_Texture!B$4</f>
        <v>2.0795396578102046</v>
      </c>
      <c r="C14" s="10">
        <f>UV_Texture!C14/UV_Texture!C$4</f>
        <v>0.90386419931694928</v>
      </c>
      <c r="D14" s="10">
        <f>UV_Texture!D14/UV_Texture!D$4</f>
        <v>1.0551056584143506</v>
      </c>
      <c r="E14" s="10">
        <f>UV_Texture!E14/UV_Texture!E$4</f>
        <v>0.98133676536593306</v>
      </c>
      <c r="F14" s="10">
        <f>UV_Texture!F14/UV_Texture!F$4</f>
        <v>0.97475596355645133</v>
      </c>
    </row>
    <row r="15" spans="1:6" x14ac:dyDescent="0.3">
      <c r="A15">
        <f>UV_Texture!A15</f>
        <v>12</v>
      </c>
      <c r="B15" s="10">
        <f>UV_Texture!B15/UV_Texture!B$4</f>
        <v>3.688322636862992</v>
      </c>
      <c r="C15" s="10">
        <f>UV_Texture!C15/UV_Texture!C$4</f>
        <v>0.90007672778092052</v>
      </c>
      <c r="D15" s="10">
        <f>UV_Texture!D15/UV_Texture!D$4</f>
        <v>0.7437596521376556</v>
      </c>
      <c r="E15" s="10">
        <f>UV_Texture!E15/UV_Texture!E$4</f>
        <v>0.95776723595363811</v>
      </c>
      <c r="F15" s="10">
        <f>UV_Texture!F15/UV_Texture!F$4</f>
        <v>1.1437883558246671</v>
      </c>
    </row>
    <row r="16" spans="1:6" x14ac:dyDescent="0.3">
      <c r="A16">
        <f>UV_Texture!A16</f>
        <v>13</v>
      </c>
      <c r="B16" s="10">
        <f>UV_Texture!B16/UV_Texture!B$4</f>
        <v>1.2590503216639675</v>
      </c>
      <c r="C16" s="10">
        <f>UV_Texture!C16/UV_Texture!C$4</f>
        <v>0.83700858784152832</v>
      </c>
      <c r="D16" s="10">
        <f>UV_Texture!D16/UV_Texture!D$4</f>
        <v>1.3816245292727458</v>
      </c>
      <c r="E16" s="10">
        <f>UV_Texture!E16/UV_Texture!E$4</f>
        <v>0.99499381789388941</v>
      </c>
      <c r="F16" s="10">
        <f>UV_Texture!F16/UV_Texture!F$4</f>
        <v>0.8181744851271654</v>
      </c>
    </row>
    <row r="17" spans="1:6" x14ac:dyDescent="0.3">
      <c r="A17">
        <f>UV_Texture!A17</f>
        <v>14</v>
      </c>
      <c r="B17" s="10">
        <f>UV_Texture!B17/UV_Texture!B$4</f>
        <v>1.4316391314945571</v>
      </c>
      <c r="C17" s="10">
        <f>UV_Texture!C17/UV_Texture!C$4</f>
        <v>0.81337245218785736</v>
      </c>
      <c r="D17" s="10">
        <f>UV_Texture!D17/UV_Texture!D$4</f>
        <v>1.4086610024150978</v>
      </c>
      <c r="E17" s="10">
        <f>UV_Texture!E17/UV_Texture!E$4</f>
        <v>0.9927755066369881</v>
      </c>
      <c r="F17" s="10">
        <f>UV_Texture!F17/UV_Texture!F$4</f>
        <v>0.81600542292514844</v>
      </c>
    </row>
    <row r="18" spans="1:6" x14ac:dyDescent="0.3">
      <c r="A18">
        <f>UV_Texture!A18</f>
        <v>15</v>
      </c>
      <c r="B18" s="10">
        <f>UV_Texture!B18/UV_Texture!B$4</f>
        <v>1.3117096851527128</v>
      </c>
      <c r="C18" s="10">
        <f>UV_Texture!C18/UV_Texture!C$4</f>
        <v>0.92022418757393409</v>
      </c>
      <c r="D18" s="10">
        <f>UV_Texture!D18/UV_Texture!D$4</f>
        <v>1.3431419138884384</v>
      </c>
      <c r="E18" s="10">
        <f>UV_Texture!E18/UV_Texture!E$4</f>
        <v>0.99438686711672275</v>
      </c>
      <c r="F18" s="10">
        <f>UV_Texture!F18/UV_Texture!F$4</f>
        <v>0.85507758658259414</v>
      </c>
    </row>
    <row r="19" spans="1:6" x14ac:dyDescent="0.3">
      <c r="A19">
        <f>UV_Texture!A19</f>
        <v>16</v>
      </c>
      <c r="B19" s="10">
        <f>UV_Texture!B19/UV_Texture!B$4</f>
        <v>1.2969806114935949</v>
      </c>
      <c r="C19" s="10">
        <f>UV_Texture!C19/UV_Texture!C$4</f>
        <v>0.92029082388857308</v>
      </c>
      <c r="D19" s="10">
        <f>UV_Texture!D19/UV_Texture!D$4</f>
        <v>1.3536514109984668</v>
      </c>
      <c r="E19" s="10">
        <f>UV_Texture!E19/UV_Texture!E$4</f>
        <v>0.99458479528167754</v>
      </c>
      <c r="F19" s="10">
        <f>UV_Texture!F19/UV_Texture!F$4</f>
        <v>0.85095171772040779</v>
      </c>
    </row>
    <row r="20" spans="1:6" x14ac:dyDescent="0.3">
      <c r="A20">
        <f>UV_Texture!A20</f>
        <v>17</v>
      </c>
      <c r="B20" s="10">
        <f>UV_Texture!B20/UV_Texture!B$4</f>
        <v>1.3349513712427938</v>
      </c>
      <c r="C20" s="10">
        <f>UV_Texture!C20/UV_Texture!C$4</f>
        <v>0.94116544133524771</v>
      </c>
      <c r="D20" s="10">
        <f>UV_Texture!D20/UV_Texture!D$4</f>
        <v>1.3234672495491606</v>
      </c>
      <c r="E20" s="10">
        <f>UV_Texture!E20/UV_Texture!E$4</f>
        <v>0.99395106073356632</v>
      </c>
      <c r="F20" s="10">
        <f>UV_Texture!F20/UV_Texture!F$4</f>
        <v>0.8724344580829152</v>
      </c>
    </row>
    <row r="21" spans="1:6" x14ac:dyDescent="0.3">
      <c r="A21">
        <f>UV_Texture!A21</f>
        <v>18</v>
      </c>
      <c r="B21" s="10">
        <f>UV_Texture!B21/UV_Texture!B$4</f>
        <v>1.0497814459587731</v>
      </c>
      <c r="C21" s="10">
        <f>UV_Texture!C21/UV_Texture!C$4</f>
        <v>0.93735471735831288</v>
      </c>
      <c r="D21" s="10">
        <f>UV_Texture!D21/UV_Texture!D$4</f>
        <v>1.3857978431535944</v>
      </c>
      <c r="E21" s="10">
        <f>UV_Texture!E21/UV_Texture!E$4</f>
        <v>0.99858523947196232</v>
      </c>
      <c r="F21" s="10">
        <f>UV_Texture!F21/UV_Texture!F$4</f>
        <v>0.83361827093225294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1"/>
  <sheetViews>
    <sheetView workbookViewId="0"/>
  </sheetViews>
  <sheetFormatPr defaultRowHeight="14.4" x14ac:dyDescent="0.3"/>
  <cols>
    <col min="1" max="1" width="64" customWidth="1"/>
    <col min="2" max="2" width="6" customWidth="1"/>
    <col min="3" max="3" width="6.109375" customWidth="1"/>
    <col min="4" max="4" width="6" customWidth="1"/>
    <col min="5" max="5" width="10" customWidth="1"/>
    <col min="6" max="6" width="4.109375" customWidth="1"/>
    <col min="7" max="7" width="10.6640625" customWidth="1"/>
    <col min="8" max="8" width="9.88671875" customWidth="1"/>
    <col min="9" max="9" width="11.109375" customWidth="1"/>
    <col min="10" max="10" width="10.109375" customWidth="1"/>
    <col min="11" max="11" width="12.21875" customWidth="1"/>
    <col min="12" max="12" width="8.88671875" customWidth="1"/>
    <col min="13" max="13" width="14" customWidth="1"/>
    <col min="14" max="14" width="17" customWidth="1"/>
    <col min="15" max="15" width="3.44140625" customWidth="1"/>
  </cols>
  <sheetData>
    <row r="1" spans="1:15" ht="18" x14ac:dyDescent="0.3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3" spans="1:15" ht="28.8" x14ac:dyDescent="0.3">
      <c r="A3" s="3" t="s">
        <v>114</v>
      </c>
      <c r="B3" s="3" t="s">
        <v>43</v>
      </c>
      <c r="C3" s="3" t="s">
        <v>48</v>
      </c>
      <c r="D3" s="3" t="s">
        <v>50</v>
      </c>
      <c r="E3" s="3" t="s">
        <v>52</v>
      </c>
      <c r="F3" s="3" t="s">
        <v>115</v>
      </c>
      <c r="G3" s="3" t="s">
        <v>60</v>
      </c>
      <c r="H3" s="3" t="s">
        <v>64</v>
      </c>
      <c r="I3" s="3" t="s">
        <v>67</v>
      </c>
      <c r="J3" s="3" t="s">
        <v>116</v>
      </c>
      <c r="K3" s="3" t="s">
        <v>117</v>
      </c>
      <c r="L3" s="3" t="s">
        <v>118</v>
      </c>
      <c r="M3" s="3" t="s">
        <v>119</v>
      </c>
      <c r="N3" s="3" t="s">
        <v>120</v>
      </c>
      <c r="O3" s="3" t="s">
        <v>38</v>
      </c>
    </row>
    <row r="4" spans="1:15" x14ac:dyDescent="0.3">
      <c r="A4">
        <v>1</v>
      </c>
      <c r="B4" t="e">
        <f ca="1">_xludf.RANK.AVG(RGB_Descriptors!B4,RGB_Descriptors!$B$4:$B$21,1)</f>
        <v>#NAME?</v>
      </c>
      <c r="C4" t="e">
        <f ca="1">_xludf.RANK.AVG(RGB_Descriptors!C4,RGB_Descriptors!$C$4:$C$21,1)</f>
        <v>#NAME?</v>
      </c>
      <c r="D4" t="e">
        <f ca="1">_xludf.RANK.AVG(RGB_Descriptors!D4,RGB_Descriptors!$D$4:$D$21,1)</f>
        <v>#NAME?</v>
      </c>
      <c r="E4" t="e">
        <f ca="1">_xludf.RANK.AVG(RGB_Descriptors!E4,RGB_Descriptors!$E$4:$E$21,1)</f>
        <v>#NAME?</v>
      </c>
      <c r="F4" t="e">
        <f ca="1">_xludf.RANK.AVG(RGB_Descriptors!F4,RGB_Descriptors!$F$4:$F$21,1)</f>
        <v>#NAME?</v>
      </c>
      <c r="G4" t="e">
        <f ca="1">_xludf.RANK.AVG(RGB_Descriptors!G4,RGB_Descriptors!$G$4:$G$21,1)</f>
        <v>#NAME?</v>
      </c>
      <c r="H4" t="e">
        <f ca="1">_xludf.RANK.AVG(RGB_Descriptors!H4,RGB_Descriptors!$H$4:$H$21,1)</f>
        <v>#NAME?</v>
      </c>
      <c r="I4" t="e">
        <f ca="1">_xludf.RANK.AVG(RGB_Descriptors!I4,RGB_Descriptors!$I$4:$I$21,1)</f>
        <v>#NAME?</v>
      </c>
      <c r="J4" t="e">
        <f ca="1">_xludf.RANK.AVG(UV_Texture!B4,UV_Texture!$B$4:$B$21,1)</f>
        <v>#NAME?</v>
      </c>
      <c r="K4" t="e">
        <f ca="1">_xludf.RANK.AVG(UV_Texture!C4,UV_Texture!$C$4:$C$21,1)</f>
        <v>#NAME?</v>
      </c>
      <c r="L4" t="e">
        <f ca="1">_xludf.RANK.AVG(UV_Texture!D4,UV_Texture!$D$4:$D$21,1)</f>
        <v>#NAME?</v>
      </c>
      <c r="M4" t="e">
        <f ca="1">_xludf.RANK.AVG(UV_Texture!E4,UV_Texture!$E$4:$E$21,1)</f>
        <v>#NAME?</v>
      </c>
      <c r="N4" t="e">
        <f ca="1">_xludf.RANK.AVG(UV_Texture!F4,UV_Texture!$F$4:$F$21,1)</f>
        <v>#NAME?</v>
      </c>
      <c r="O4">
        <v>1</v>
      </c>
    </row>
    <row r="5" spans="1:15" x14ac:dyDescent="0.3">
      <c r="A5">
        <v>2</v>
      </c>
      <c r="B5" t="e">
        <f ca="1">_xludf.RANK.AVG(RGB_Descriptors!B5,RGB_Descriptors!$B$4:$B$21,1)</f>
        <v>#NAME?</v>
      </c>
      <c r="C5" t="e">
        <f ca="1">_xludf.RANK.AVG(RGB_Descriptors!C5,RGB_Descriptors!$C$4:$C$21,1)</f>
        <v>#NAME?</v>
      </c>
      <c r="D5" t="e">
        <f ca="1">_xludf.RANK.AVG(RGB_Descriptors!D5,RGB_Descriptors!$D$4:$D$21,1)</f>
        <v>#NAME?</v>
      </c>
      <c r="E5" t="e">
        <f ca="1">_xludf.RANK.AVG(RGB_Descriptors!E5,RGB_Descriptors!$E$4:$E$21,1)</f>
        <v>#NAME?</v>
      </c>
      <c r="F5" t="e">
        <f ca="1">_xludf.RANK.AVG(RGB_Descriptors!F5,RGB_Descriptors!$F$4:$F$21,1)</f>
        <v>#NAME?</v>
      </c>
      <c r="G5" t="e">
        <f ca="1">_xludf.RANK.AVG(RGB_Descriptors!G5,RGB_Descriptors!$G$4:$G$21,1)</f>
        <v>#NAME?</v>
      </c>
      <c r="H5" t="e">
        <f ca="1">_xludf.RANK.AVG(RGB_Descriptors!H5,RGB_Descriptors!$H$4:$H$21,1)</f>
        <v>#NAME?</v>
      </c>
      <c r="I5" t="e">
        <f ca="1">_xludf.RANK.AVG(RGB_Descriptors!I5,RGB_Descriptors!$I$4:$I$21,1)</f>
        <v>#NAME?</v>
      </c>
      <c r="J5" t="e">
        <f ca="1">_xludf.RANK.AVG(UV_Texture!B5,UV_Texture!$B$4:$B$21,1)</f>
        <v>#NAME?</v>
      </c>
      <c r="K5" t="e">
        <f ca="1">_xludf.RANK.AVG(UV_Texture!C5,UV_Texture!$C$4:$C$21,1)</f>
        <v>#NAME?</v>
      </c>
      <c r="L5" t="e">
        <f ca="1">_xludf.RANK.AVG(UV_Texture!D5,UV_Texture!$D$4:$D$21,1)</f>
        <v>#NAME?</v>
      </c>
      <c r="M5" t="e">
        <f ca="1">_xludf.RANK.AVG(UV_Texture!E5,UV_Texture!$E$4:$E$21,1)</f>
        <v>#NAME?</v>
      </c>
      <c r="N5" t="e">
        <f ca="1">_xludf.RANK.AVG(UV_Texture!F5,UV_Texture!$F$4:$F$21,1)</f>
        <v>#NAME?</v>
      </c>
      <c r="O5">
        <v>2</v>
      </c>
    </row>
    <row r="6" spans="1:15" x14ac:dyDescent="0.3">
      <c r="A6">
        <v>3</v>
      </c>
      <c r="B6" t="e">
        <f ca="1">_xludf.RANK.AVG(RGB_Descriptors!B6,RGB_Descriptors!$B$4:$B$21,1)</f>
        <v>#NAME?</v>
      </c>
      <c r="C6" t="e">
        <f ca="1">_xludf.RANK.AVG(RGB_Descriptors!C6,RGB_Descriptors!$C$4:$C$21,1)</f>
        <v>#NAME?</v>
      </c>
      <c r="D6" t="e">
        <f ca="1">_xludf.RANK.AVG(RGB_Descriptors!D6,RGB_Descriptors!$D$4:$D$21,1)</f>
        <v>#NAME?</v>
      </c>
      <c r="E6" t="e">
        <f ca="1">_xludf.RANK.AVG(RGB_Descriptors!E6,RGB_Descriptors!$E$4:$E$21,1)</f>
        <v>#NAME?</v>
      </c>
      <c r="F6" t="e">
        <f ca="1">_xludf.RANK.AVG(RGB_Descriptors!F6,RGB_Descriptors!$F$4:$F$21,1)</f>
        <v>#NAME?</v>
      </c>
      <c r="G6" t="e">
        <f ca="1">_xludf.RANK.AVG(RGB_Descriptors!G6,RGB_Descriptors!$G$4:$G$21,1)</f>
        <v>#NAME?</v>
      </c>
      <c r="H6" t="e">
        <f ca="1">_xludf.RANK.AVG(RGB_Descriptors!H6,RGB_Descriptors!$H$4:$H$21,1)</f>
        <v>#NAME?</v>
      </c>
      <c r="I6" t="e">
        <f ca="1">_xludf.RANK.AVG(RGB_Descriptors!I6,RGB_Descriptors!$I$4:$I$21,1)</f>
        <v>#NAME?</v>
      </c>
      <c r="J6" t="e">
        <f ca="1">_xludf.RANK.AVG(UV_Texture!B6,UV_Texture!$B$4:$B$21,1)</f>
        <v>#NAME?</v>
      </c>
      <c r="K6" t="e">
        <f ca="1">_xludf.RANK.AVG(UV_Texture!C6,UV_Texture!$C$4:$C$21,1)</f>
        <v>#NAME?</v>
      </c>
      <c r="L6" t="e">
        <f ca="1">_xludf.RANK.AVG(UV_Texture!D6,UV_Texture!$D$4:$D$21,1)</f>
        <v>#NAME?</v>
      </c>
      <c r="M6" t="e">
        <f ca="1">_xludf.RANK.AVG(UV_Texture!E6,UV_Texture!$E$4:$E$21,1)</f>
        <v>#NAME?</v>
      </c>
      <c r="N6" t="e">
        <f ca="1">_xludf.RANK.AVG(UV_Texture!F6,UV_Texture!$F$4:$F$21,1)</f>
        <v>#NAME?</v>
      </c>
      <c r="O6">
        <v>3</v>
      </c>
    </row>
    <row r="7" spans="1:15" x14ac:dyDescent="0.3">
      <c r="A7">
        <v>4</v>
      </c>
      <c r="B7" t="e">
        <f ca="1">_xludf.RANK.AVG(RGB_Descriptors!B7,RGB_Descriptors!$B$4:$B$21,1)</f>
        <v>#NAME?</v>
      </c>
      <c r="C7" t="e">
        <f ca="1">_xludf.RANK.AVG(RGB_Descriptors!C7,RGB_Descriptors!$C$4:$C$21,1)</f>
        <v>#NAME?</v>
      </c>
      <c r="D7" t="e">
        <f ca="1">_xludf.RANK.AVG(RGB_Descriptors!D7,RGB_Descriptors!$D$4:$D$21,1)</f>
        <v>#NAME?</v>
      </c>
      <c r="E7" t="e">
        <f ca="1">_xludf.RANK.AVG(RGB_Descriptors!E7,RGB_Descriptors!$E$4:$E$21,1)</f>
        <v>#NAME?</v>
      </c>
      <c r="F7" t="e">
        <f ca="1">_xludf.RANK.AVG(RGB_Descriptors!F7,RGB_Descriptors!$F$4:$F$21,1)</f>
        <v>#NAME?</v>
      </c>
      <c r="G7" t="e">
        <f ca="1">_xludf.RANK.AVG(RGB_Descriptors!G7,RGB_Descriptors!$G$4:$G$21,1)</f>
        <v>#NAME?</v>
      </c>
      <c r="H7" t="e">
        <f ca="1">_xludf.RANK.AVG(RGB_Descriptors!H7,RGB_Descriptors!$H$4:$H$21,1)</f>
        <v>#NAME?</v>
      </c>
      <c r="I7" t="e">
        <f ca="1">_xludf.RANK.AVG(RGB_Descriptors!I7,RGB_Descriptors!$I$4:$I$21,1)</f>
        <v>#NAME?</v>
      </c>
      <c r="J7" t="e">
        <f ca="1">_xludf.RANK.AVG(UV_Texture!B7,UV_Texture!$B$4:$B$21,1)</f>
        <v>#NAME?</v>
      </c>
      <c r="K7" t="e">
        <f ca="1">_xludf.RANK.AVG(UV_Texture!C7,UV_Texture!$C$4:$C$21,1)</f>
        <v>#NAME?</v>
      </c>
      <c r="L7" t="e">
        <f ca="1">_xludf.RANK.AVG(UV_Texture!D7,UV_Texture!$D$4:$D$21,1)</f>
        <v>#NAME?</v>
      </c>
      <c r="M7" t="e">
        <f ca="1">_xludf.RANK.AVG(UV_Texture!E7,UV_Texture!$E$4:$E$21,1)</f>
        <v>#NAME?</v>
      </c>
      <c r="N7" t="e">
        <f ca="1">_xludf.RANK.AVG(UV_Texture!F7,UV_Texture!$F$4:$F$21,1)</f>
        <v>#NAME?</v>
      </c>
      <c r="O7">
        <v>4</v>
      </c>
    </row>
    <row r="8" spans="1:15" x14ac:dyDescent="0.3">
      <c r="A8">
        <v>5</v>
      </c>
      <c r="B8" t="e">
        <f ca="1">_xludf.RANK.AVG(RGB_Descriptors!B8,RGB_Descriptors!$B$4:$B$21,1)</f>
        <v>#NAME?</v>
      </c>
      <c r="C8" t="e">
        <f ca="1">_xludf.RANK.AVG(RGB_Descriptors!C8,RGB_Descriptors!$C$4:$C$21,1)</f>
        <v>#NAME?</v>
      </c>
      <c r="D8" t="e">
        <f ca="1">_xludf.RANK.AVG(RGB_Descriptors!D8,RGB_Descriptors!$D$4:$D$21,1)</f>
        <v>#NAME?</v>
      </c>
      <c r="E8" t="e">
        <f ca="1">_xludf.RANK.AVG(RGB_Descriptors!E8,RGB_Descriptors!$E$4:$E$21,1)</f>
        <v>#NAME?</v>
      </c>
      <c r="F8" t="e">
        <f ca="1">_xludf.RANK.AVG(RGB_Descriptors!F8,RGB_Descriptors!$F$4:$F$21,1)</f>
        <v>#NAME?</v>
      </c>
      <c r="G8" t="e">
        <f ca="1">_xludf.RANK.AVG(RGB_Descriptors!G8,RGB_Descriptors!$G$4:$G$21,1)</f>
        <v>#NAME?</v>
      </c>
      <c r="H8" t="e">
        <f ca="1">_xludf.RANK.AVG(RGB_Descriptors!H8,RGB_Descriptors!$H$4:$H$21,1)</f>
        <v>#NAME?</v>
      </c>
      <c r="I8" t="e">
        <f ca="1">_xludf.RANK.AVG(RGB_Descriptors!I8,RGB_Descriptors!$I$4:$I$21,1)</f>
        <v>#NAME?</v>
      </c>
      <c r="J8" t="e">
        <f ca="1">_xludf.RANK.AVG(UV_Texture!B8,UV_Texture!$B$4:$B$21,1)</f>
        <v>#NAME?</v>
      </c>
      <c r="K8" t="e">
        <f ca="1">_xludf.RANK.AVG(UV_Texture!C8,UV_Texture!$C$4:$C$21,1)</f>
        <v>#NAME?</v>
      </c>
      <c r="L8" t="e">
        <f ca="1">_xludf.RANK.AVG(UV_Texture!D8,UV_Texture!$D$4:$D$21,1)</f>
        <v>#NAME?</v>
      </c>
      <c r="M8" t="e">
        <f ca="1">_xludf.RANK.AVG(UV_Texture!E8,UV_Texture!$E$4:$E$21,1)</f>
        <v>#NAME?</v>
      </c>
      <c r="N8" t="e">
        <f ca="1">_xludf.RANK.AVG(UV_Texture!F8,UV_Texture!$F$4:$F$21,1)</f>
        <v>#NAME?</v>
      </c>
      <c r="O8">
        <v>5</v>
      </c>
    </row>
    <row r="9" spans="1:15" x14ac:dyDescent="0.3">
      <c r="A9">
        <v>6</v>
      </c>
      <c r="B9" t="e">
        <f ca="1">_xludf.RANK.AVG(RGB_Descriptors!B9,RGB_Descriptors!$B$4:$B$21,1)</f>
        <v>#NAME?</v>
      </c>
      <c r="C9" t="e">
        <f ca="1">_xludf.RANK.AVG(RGB_Descriptors!C9,RGB_Descriptors!$C$4:$C$21,1)</f>
        <v>#NAME?</v>
      </c>
      <c r="D9" t="e">
        <f ca="1">_xludf.RANK.AVG(RGB_Descriptors!D9,RGB_Descriptors!$D$4:$D$21,1)</f>
        <v>#NAME?</v>
      </c>
      <c r="E9" t="e">
        <f ca="1">_xludf.RANK.AVG(RGB_Descriptors!E9,RGB_Descriptors!$E$4:$E$21,1)</f>
        <v>#NAME?</v>
      </c>
      <c r="F9" t="e">
        <f ca="1">_xludf.RANK.AVG(RGB_Descriptors!F9,RGB_Descriptors!$F$4:$F$21,1)</f>
        <v>#NAME?</v>
      </c>
      <c r="G9" t="e">
        <f ca="1">_xludf.RANK.AVG(RGB_Descriptors!G9,RGB_Descriptors!$G$4:$G$21,1)</f>
        <v>#NAME?</v>
      </c>
      <c r="H9" t="e">
        <f ca="1">_xludf.RANK.AVG(RGB_Descriptors!H9,RGB_Descriptors!$H$4:$H$21,1)</f>
        <v>#NAME?</v>
      </c>
      <c r="I9" t="e">
        <f ca="1">_xludf.RANK.AVG(RGB_Descriptors!I9,RGB_Descriptors!$I$4:$I$21,1)</f>
        <v>#NAME?</v>
      </c>
      <c r="J9" t="e">
        <f ca="1">_xludf.RANK.AVG(UV_Texture!B9,UV_Texture!$B$4:$B$21,1)</f>
        <v>#NAME?</v>
      </c>
      <c r="K9" t="e">
        <f ca="1">_xludf.RANK.AVG(UV_Texture!C9,UV_Texture!$C$4:$C$21,1)</f>
        <v>#NAME?</v>
      </c>
      <c r="L9" t="e">
        <f ca="1">_xludf.RANK.AVG(UV_Texture!D9,UV_Texture!$D$4:$D$21,1)</f>
        <v>#NAME?</v>
      </c>
      <c r="M9" t="e">
        <f ca="1">_xludf.RANK.AVG(UV_Texture!E9,UV_Texture!$E$4:$E$21,1)</f>
        <v>#NAME?</v>
      </c>
      <c r="N9" t="e">
        <f ca="1">_xludf.RANK.AVG(UV_Texture!F9,UV_Texture!$F$4:$F$21,1)</f>
        <v>#NAME?</v>
      </c>
      <c r="O9">
        <v>6</v>
      </c>
    </row>
    <row r="10" spans="1:15" x14ac:dyDescent="0.3">
      <c r="A10">
        <v>7</v>
      </c>
      <c r="B10" t="e">
        <f ca="1">_xludf.RANK.AVG(RGB_Descriptors!B10,RGB_Descriptors!$B$4:$B$21,1)</f>
        <v>#NAME?</v>
      </c>
      <c r="C10" t="e">
        <f ca="1">_xludf.RANK.AVG(RGB_Descriptors!C10,RGB_Descriptors!$C$4:$C$21,1)</f>
        <v>#NAME?</v>
      </c>
      <c r="D10" t="e">
        <f ca="1">_xludf.RANK.AVG(RGB_Descriptors!D10,RGB_Descriptors!$D$4:$D$21,1)</f>
        <v>#NAME?</v>
      </c>
      <c r="E10" t="e">
        <f ca="1">_xludf.RANK.AVG(RGB_Descriptors!E10,RGB_Descriptors!$E$4:$E$21,1)</f>
        <v>#NAME?</v>
      </c>
      <c r="F10" t="e">
        <f ca="1">_xludf.RANK.AVG(RGB_Descriptors!F10,RGB_Descriptors!$F$4:$F$21,1)</f>
        <v>#NAME?</v>
      </c>
      <c r="G10" t="e">
        <f ca="1">_xludf.RANK.AVG(RGB_Descriptors!G10,RGB_Descriptors!$G$4:$G$21,1)</f>
        <v>#NAME?</v>
      </c>
      <c r="H10" t="e">
        <f ca="1">_xludf.RANK.AVG(RGB_Descriptors!H10,RGB_Descriptors!$H$4:$H$21,1)</f>
        <v>#NAME?</v>
      </c>
      <c r="I10" t="e">
        <f ca="1">_xludf.RANK.AVG(RGB_Descriptors!I10,RGB_Descriptors!$I$4:$I$21,1)</f>
        <v>#NAME?</v>
      </c>
      <c r="J10" t="e">
        <f ca="1">_xludf.RANK.AVG(UV_Texture!B10,UV_Texture!$B$4:$B$21,1)</f>
        <v>#NAME?</v>
      </c>
      <c r="K10" t="e">
        <f ca="1">_xludf.RANK.AVG(UV_Texture!C10,UV_Texture!$C$4:$C$21,1)</f>
        <v>#NAME?</v>
      </c>
      <c r="L10" t="e">
        <f ca="1">_xludf.RANK.AVG(UV_Texture!D10,UV_Texture!$D$4:$D$21,1)</f>
        <v>#NAME?</v>
      </c>
      <c r="M10" t="e">
        <f ca="1">_xludf.RANK.AVG(UV_Texture!E10,UV_Texture!$E$4:$E$21,1)</f>
        <v>#NAME?</v>
      </c>
      <c r="N10" t="e">
        <f ca="1">_xludf.RANK.AVG(UV_Texture!F10,UV_Texture!$F$4:$F$21,1)</f>
        <v>#NAME?</v>
      </c>
      <c r="O10">
        <v>7</v>
      </c>
    </row>
    <row r="11" spans="1:15" x14ac:dyDescent="0.3">
      <c r="A11">
        <v>8</v>
      </c>
      <c r="B11" t="e">
        <f ca="1">_xludf.RANK.AVG(RGB_Descriptors!B11,RGB_Descriptors!$B$4:$B$21,1)</f>
        <v>#NAME?</v>
      </c>
      <c r="C11" t="e">
        <f ca="1">_xludf.RANK.AVG(RGB_Descriptors!C11,RGB_Descriptors!$C$4:$C$21,1)</f>
        <v>#NAME?</v>
      </c>
      <c r="D11" t="e">
        <f ca="1">_xludf.RANK.AVG(RGB_Descriptors!D11,RGB_Descriptors!$D$4:$D$21,1)</f>
        <v>#NAME?</v>
      </c>
      <c r="E11" t="e">
        <f ca="1">_xludf.RANK.AVG(RGB_Descriptors!E11,RGB_Descriptors!$E$4:$E$21,1)</f>
        <v>#NAME?</v>
      </c>
      <c r="F11" t="e">
        <f ca="1">_xludf.RANK.AVG(RGB_Descriptors!F11,RGB_Descriptors!$F$4:$F$21,1)</f>
        <v>#NAME?</v>
      </c>
      <c r="G11" t="e">
        <f ca="1">_xludf.RANK.AVG(RGB_Descriptors!G11,RGB_Descriptors!$G$4:$G$21,1)</f>
        <v>#NAME?</v>
      </c>
      <c r="H11" t="e">
        <f ca="1">_xludf.RANK.AVG(RGB_Descriptors!H11,RGB_Descriptors!$H$4:$H$21,1)</f>
        <v>#NAME?</v>
      </c>
      <c r="I11" t="e">
        <f ca="1">_xludf.RANK.AVG(RGB_Descriptors!I11,RGB_Descriptors!$I$4:$I$21,1)</f>
        <v>#NAME?</v>
      </c>
      <c r="J11" t="e">
        <f ca="1">_xludf.RANK.AVG(UV_Texture!B11,UV_Texture!$B$4:$B$21,1)</f>
        <v>#NAME?</v>
      </c>
      <c r="K11" t="e">
        <f ca="1">_xludf.RANK.AVG(UV_Texture!C11,UV_Texture!$C$4:$C$21,1)</f>
        <v>#NAME?</v>
      </c>
      <c r="L11" t="e">
        <f ca="1">_xludf.RANK.AVG(UV_Texture!D11,UV_Texture!$D$4:$D$21,1)</f>
        <v>#NAME?</v>
      </c>
      <c r="M11" t="e">
        <f ca="1">_xludf.RANK.AVG(UV_Texture!E11,UV_Texture!$E$4:$E$21,1)</f>
        <v>#NAME?</v>
      </c>
      <c r="N11" t="e">
        <f ca="1">_xludf.RANK.AVG(UV_Texture!F11,UV_Texture!$F$4:$F$21,1)</f>
        <v>#NAME?</v>
      </c>
      <c r="O11">
        <v>8</v>
      </c>
    </row>
    <row r="12" spans="1:15" x14ac:dyDescent="0.3">
      <c r="A12">
        <v>9</v>
      </c>
      <c r="B12" t="e">
        <f ca="1">_xludf.RANK.AVG(RGB_Descriptors!B12,RGB_Descriptors!$B$4:$B$21,1)</f>
        <v>#NAME?</v>
      </c>
      <c r="C12" t="e">
        <f ca="1">_xludf.RANK.AVG(RGB_Descriptors!C12,RGB_Descriptors!$C$4:$C$21,1)</f>
        <v>#NAME?</v>
      </c>
      <c r="D12" t="e">
        <f ca="1">_xludf.RANK.AVG(RGB_Descriptors!D12,RGB_Descriptors!$D$4:$D$21,1)</f>
        <v>#NAME?</v>
      </c>
      <c r="E12" t="e">
        <f ca="1">_xludf.RANK.AVG(RGB_Descriptors!E12,RGB_Descriptors!$E$4:$E$21,1)</f>
        <v>#NAME?</v>
      </c>
      <c r="F12" t="e">
        <f ca="1">_xludf.RANK.AVG(RGB_Descriptors!F12,RGB_Descriptors!$F$4:$F$21,1)</f>
        <v>#NAME?</v>
      </c>
      <c r="G12" t="e">
        <f ca="1">_xludf.RANK.AVG(RGB_Descriptors!G12,RGB_Descriptors!$G$4:$G$21,1)</f>
        <v>#NAME?</v>
      </c>
      <c r="H12" t="e">
        <f ca="1">_xludf.RANK.AVG(RGB_Descriptors!H12,RGB_Descriptors!$H$4:$H$21,1)</f>
        <v>#NAME?</v>
      </c>
      <c r="I12" t="e">
        <f ca="1">_xludf.RANK.AVG(RGB_Descriptors!I12,RGB_Descriptors!$I$4:$I$21,1)</f>
        <v>#NAME?</v>
      </c>
      <c r="J12" t="e">
        <f ca="1">_xludf.RANK.AVG(UV_Texture!B12,UV_Texture!$B$4:$B$21,1)</f>
        <v>#NAME?</v>
      </c>
      <c r="K12" t="e">
        <f ca="1">_xludf.RANK.AVG(UV_Texture!C12,UV_Texture!$C$4:$C$21,1)</f>
        <v>#NAME?</v>
      </c>
      <c r="L12" t="e">
        <f ca="1">_xludf.RANK.AVG(UV_Texture!D12,UV_Texture!$D$4:$D$21,1)</f>
        <v>#NAME?</v>
      </c>
      <c r="M12" t="e">
        <f ca="1">_xludf.RANK.AVG(UV_Texture!E12,UV_Texture!$E$4:$E$21,1)</f>
        <v>#NAME?</v>
      </c>
      <c r="N12" t="e">
        <f ca="1">_xludf.RANK.AVG(UV_Texture!F12,UV_Texture!$F$4:$F$21,1)</f>
        <v>#NAME?</v>
      </c>
      <c r="O12">
        <v>9</v>
      </c>
    </row>
    <row r="13" spans="1:15" x14ac:dyDescent="0.3">
      <c r="A13">
        <v>10</v>
      </c>
      <c r="B13" t="e">
        <f ca="1">_xludf.RANK.AVG(RGB_Descriptors!B13,RGB_Descriptors!$B$4:$B$21,1)</f>
        <v>#NAME?</v>
      </c>
      <c r="C13" t="e">
        <f ca="1">_xludf.RANK.AVG(RGB_Descriptors!C13,RGB_Descriptors!$C$4:$C$21,1)</f>
        <v>#NAME?</v>
      </c>
      <c r="D13" t="e">
        <f ca="1">_xludf.RANK.AVG(RGB_Descriptors!D13,RGB_Descriptors!$D$4:$D$21,1)</f>
        <v>#NAME?</v>
      </c>
      <c r="E13" t="e">
        <f ca="1">_xludf.RANK.AVG(RGB_Descriptors!E13,RGB_Descriptors!$E$4:$E$21,1)</f>
        <v>#NAME?</v>
      </c>
      <c r="F13" t="e">
        <f ca="1">_xludf.RANK.AVG(RGB_Descriptors!F13,RGB_Descriptors!$F$4:$F$21,1)</f>
        <v>#NAME?</v>
      </c>
      <c r="G13" t="e">
        <f ca="1">_xludf.RANK.AVG(RGB_Descriptors!G13,RGB_Descriptors!$G$4:$G$21,1)</f>
        <v>#NAME?</v>
      </c>
      <c r="H13" t="e">
        <f ca="1">_xludf.RANK.AVG(RGB_Descriptors!H13,RGB_Descriptors!$H$4:$H$21,1)</f>
        <v>#NAME?</v>
      </c>
      <c r="I13" t="e">
        <f ca="1">_xludf.RANK.AVG(RGB_Descriptors!I13,RGB_Descriptors!$I$4:$I$21,1)</f>
        <v>#NAME?</v>
      </c>
      <c r="J13" t="e">
        <f ca="1">_xludf.RANK.AVG(UV_Texture!B13,UV_Texture!$B$4:$B$21,1)</f>
        <v>#NAME?</v>
      </c>
      <c r="K13" t="e">
        <f ca="1">_xludf.RANK.AVG(UV_Texture!C13,UV_Texture!$C$4:$C$21,1)</f>
        <v>#NAME?</v>
      </c>
      <c r="L13" t="e">
        <f ca="1">_xludf.RANK.AVG(UV_Texture!D13,UV_Texture!$D$4:$D$21,1)</f>
        <v>#NAME?</v>
      </c>
      <c r="M13" t="e">
        <f ca="1">_xludf.RANK.AVG(UV_Texture!E13,UV_Texture!$E$4:$E$21,1)</f>
        <v>#NAME?</v>
      </c>
      <c r="N13" t="e">
        <f ca="1">_xludf.RANK.AVG(UV_Texture!F13,UV_Texture!$F$4:$F$21,1)</f>
        <v>#NAME?</v>
      </c>
      <c r="O13">
        <v>10</v>
      </c>
    </row>
    <row r="14" spans="1:15" x14ac:dyDescent="0.3">
      <c r="A14">
        <v>11</v>
      </c>
      <c r="B14" t="e">
        <f ca="1">_xludf.RANK.AVG(RGB_Descriptors!B14,RGB_Descriptors!$B$4:$B$21,1)</f>
        <v>#NAME?</v>
      </c>
      <c r="C14" t="e">
        <f ca="1">_xludf.RANK.AVG(RGB_Descriptors!C14,RGB_Descriptors!$C$4:$C$21,1)</f>
        <v>#NAME?</v>
      </c>
      <c r="D14" t="e">
        <f ca="1">_xludf.RANK.AVG(RGB_Descriptors!D14,RGB_Descriptors!$D$4:$D$21,1)</f>
        <v>#NAME?</v>
      </c>
      <c r="E14" t="e">
        <f ca="1">_xludf.RANK.AVG(RGB_Descriptors!E14,RGB_Descriptors!$E$4:$E$21,1)</f>
        <v>#NAME?</v>
      </c>
      <c r="F14" t="e">
        <f ca="1">_xludf.RANK.AVG(RGB_Descriptors!F14,RGB_Descriptors!$F$4:$F$21,1)</f>
        <v>#NAME?</v>
      </c>
      <c r="G14" t="e">
        <f ca="1">_xludf.RANK.AVG(RGB_Descriptors!G14,RGB_Descriptors!$G$4:$G$21,1)</f>
        <v>#NAME?</v>
      </c>
      <c r="H14" t="e">
        <f ca="1">_xludf.RANK.AVG(RGB_Descriptors!H14,RGB_Descriptors!$H$4:$H$21,1)</f>
        <v>#NAME?</v>
      </c>
      <c r="I14" t="e">
        <f ca="1">_xludf.RANK.AVG(RGB_Descriptors!I14,RGB_Descriptors!$I$4:$I$21,1)</f>
        <v>#NAME?</v>
      </c>
      <c r="J14" t="e">
        <f ca="1">_xludf.RANK.AVG(UV_Texture!B14,UV_Texture!$B$4:$B$21,1)</f>
        <v>#NAME?</v>
      </c>
      <c r="K14" t="e">
        <f ca="1">_xludf.RANK.AVG(UV_Texture!C14,UV_Texture!$C$4:$C$21,1)</f>
        <v>#NAME?</v>
      </c>
      <c r="L14" t="e">
        <f ca="1">_xludf.RANK.AVG(UV_Texture!D14,UV_Texture!$D$4:$D$21,1)</f>
        <v>#NAME?</v>
      </c>
      <c r="M14" t="e">
        <f ca="1">_xludf.RANK.AVG(UV_Texture!E14,UV_Texture!$E$4:$E$21,1)</f>
        <v>#NAME?</v>
      </c>
      <c r="N14" t="e">
        <f ca="1">_xludf.RANK.AVG(UV_Texture!F14,UV_Texture!$F$4:$F$21,1)</f>
        <v>#NAME?</v>
      </c>
      <c r="O14">
        <v>11</v>
      </c>
    </row>
    <row r="15" spans="1:15" x14ac:dyDescent="0.3">
      <c r="A15">
        <v>12</v>
      </c>
      <c r="B15" t="e">
        <f ca="1">_xludf.RANK.AVG(RGB_Descriptors!B15,RGB_Descriptors!$B$4:$B$21,1)</f>
        <v>#NAME?</v>
      </c>
      <c r="C15" t="e">
        <f ca="1">_xludf.RANK.AVG(RGB_Descriptors!C15,RGB_Descriptors!$C$4:$C$21,1)</f>
        <v>#NAME?</v>
      </c>
      <c r="D15" t="e">
        <f ca="1">_xludf.RANK.AVG(RGB_Descriptors!D15,RGB_Descriptors!$D$4:$D$21,1)</f>
        <v>#NAME?</v>
      </c>
      <c r="E15" t="e">
        <f ca="1">_xludf.RANK.AVG(RGB_Descriptors!E15,RGB_Descriptors!$E$4:$E$21,1)</f>
        <v>#NAME?</v>
      </c>
      <c r="F15" t="e">
        <f ca="1">_xludf.RANK.AVG(RGB_Descriptors!F15,RGB_Descriptors!$F$4:$F$21,1)</f>
        <v>#NAME?</v>
      </c>
      <c r="G15" t="e">
        <f ca="1">_xludf.RANK.AVG(RGB_Descriptors!G15,RGB_Descriptors!$G$4:$G$21,1)</f>
        <v>#NAME?</v>
      </c>
      <c r="H15" t="e">
        <f ca="1">_xludf.RANK.AVG(RGB_Descriptors!H15,RGB_Descriptors!$H$4:$H$21,1)</f>
        <v>#NAME?</v>
      </c>
      <c r="I15" t="e">
        <f ca="1">_xludf.RANK.AVG(RGB_Descriptors!I15,RGB_Descriptors!$I$4:$I$21,1)</f>
        <v>#NAME?</v>
      </c>
      <c r="J15" t="e">
        <f ca="1">_xludf.RANK.AVG(UV_Texture!B15,UV_Texture!$B$4:$B$21,1)</f>
        <v>#NAME?</v>
      </c>
      <c r="K15" t="e">
        <f ca="1">_xludf.RANK.AVG(UV_Texture!C15,UV_Texture!$C$4:$C$21,1)</f>
        <v>#NAME?</v>
      </c>
      <c r="L15" t="e">
        <f ca="1">_xludf.RANK.AVG(UV_Texture!D15,UV_Texture!$D$4:$D$21,1)</f>
        <v>#NAME?</v>
      </c>
      <c r="M15" t="e">
        <f ca="1">_xludf.RANK.AVG(UV_Texture!E15,UV_Texture!$E$4:$E$21,1)</f>
        <v>#NAME?</v>
      </c>
      <c r="N15" t="e">
        <f ca="1">_xludf.RANK.AVG(UV_Texture!F15,UV_Texture!$F$4:$F$21,1)</f>
        <v>#NAME?</v>
      </c>
      <c r="O15">
        <v>12</v>
      </c>
    </row>
    <row r="16" spans="1:15" x14ac:dyDescent="0.3">
      <c r="A16">
        <v>13</v>
      </c>
      <c r="B16" t="e">
        <f ca="1">_xludf.RANK.AVG(RGB_Descriptors!B16,RGB_Descriptors!$B$4:$B$21,1)</f>
        <v>#NAME?</v>
      </c>
      <c r="C16" t="e">
        <f ca="1">_xludf.RANK.AVG(RGB_Descriptors!C16,RGB_Descriptors!$C$4:$C$21,1)</f>
        <v>#NAME?</v>
      </c>
      <c r="D16" t="e">
        <f ca="1">_xludf.RANK.AVG(RGB_Descriptors!D16,RGB_Descriptors!$D$4:$D$21,1)</f>
        <v>#NAME?</v>
      </c>
      <c r="E16" t="e">
        <f ca="1">_xludf.RANK.AVG(RGB_Descriptors!E16,RGB_Descriptors!$E$4:$E$21,1)</f>
        <v>#NAME?</v>
      </c>
      <c r="F16" t="e">
        <f ca="1">_xludf.RANK.AVG(RGB_Descriptors!F16,RGB_Descriptors!$F$4:$F$21,1)</f>
        <v>#NAME?</v>
      </c>
      <c r="G16" t="e">
        <f ca="1">_xludf.RANK.AVG(RGB_Descriptors!G16,RGB_Descriptors!$G$4:$G$21,1)</f>
        <v>#NAME?</v>
      </c>
      <c r="H16" t="e">
        <f ca="1">_xludf.RANK.AVG(RGB_Descriptors!H16,RGB_Descriptors!$H$4:$H$21,1)</f>
        <v>#NAME?</v>
      </c>
      <c r="I16" t="e">
        <f ca="1">_xludf.RANK.AVG(RGB_Descriptors!I16,RGB_Descriptors!$I$4:$I$21,1)</f>
        <v>#NAME?</v>
      </c>
      <c r="J16" t="e">
        <f ca="1">_xludf.RANK.AVG(UV_Texture!B16,UV_Texture!$B$4:$B$21,1)</f>
        <v>#NAME?</v>
      </c>
      <c r="K16" t="e">
        <f ca="1">_xludf.RANK.AVG(UV_Texture!C16,UV_Texture!$C$4:$C$21,1)</f>
        <v>#NAME?</v>
      </c>
      <c r="L16" t="e">
        <f ca="1">_xludf.RANK.AVG(UV_Texture!D16,UV_Texture!$D$4:$D$21,1)</f>
        <v>#NAME?</v>
      </c>
      <c r="M16" t="e">
        <f ca="1">_xludf.RANK.AVG(UV_Texture!E16,UV_Texture!$E$4:$E$21,1)</f>
        <v>#NAME?</v>
      </c>
      <c r="N16" t="e">
        <f ca="1">_xludf.RANK.AVG(UV_Texture!F16,UV_Texture!$F$4:$F$21,1)</f>
        <v>#NAME?</v>
      </c>
      <c r="O16">
        <v>13</v>
      </c>
    </row>
    <row r="17" spans="1:15" x14ac:dyDescent="0.3">
      <c r="A17">
        <v>14</v>
      </c>
      <c r="B17" t="e">
        <f ca="1">_xludf.RANK.AVG(RGB_Descriptors!B17,RGB_Descriptors!$B$4:$B$21,1)</f>
        <v>#NAME?</v>
      </c>
      <c r="C17" t="e">
        <f ca="1">_xludf.RANK.AVG(RGB_Descriptors!C17,RGB_Descriptors!$C$4:$C$21,1)</f>
        <v>#NAME?</v>
      </c>
      <c r="D17" t="e">
        <f ca="1">_xludf.RANK.AVG(RGB_Descriptors!D17,RGB_Descriptors!$D$4:$D$21,1)</f>
        <v>#NAME?</v>
      </c>
      <c r="E17" t="e">
        <f ca="1">_xludf.RANK.AVG(RGB_Descriptors!E17,RGB_Descriptors!$E$4:$E$21,1)</f>
        <v>#NAME?</v>
      </c>
      <c r="F17" t="e">
        <f ca="1">_xludf.RANK.AVG(RGB_Descriptors!F17,RGB_Descriptors!$F$4:$F$21,1)</f>
        <v>#NAME?</v>
      </c>
      <c r="G17" t="e">
        <f ca="1">_xludf.RANK.AVG(RGB_Descriptors!G17,RGB_Descriptors!$G$4:$G$21,1)</f>
        <v>#NAME?</v>
      </c>
      <c r="H17" t="e">
        <f ca="1">_xludf.RANK.AVG(RGB_Descriptors!H17,RGB_Descriptors!$H$4:$H$21,1)</f>
        <v>#NAME?</v>
      </c>
      <c r="I17" t="e">
        <f ca="1">_xludf.RANK.AVG(RGB_Descriptors!I17,RGB_Descriptors!$I$4:$I$21,1)</f>
        <v>#NAME?</v>
      </c>
      <c r="J17" t="e">
        <f ca="1">_xludf.RANK.AVG(UV_Texture!B17,UV_Texture!$B$4:$B$21,1)</f>
        <v>#NAME?</v>
      </c>
      <c r="K17" t="e">
        <f ca="1">_xludf.RANK.AVG(UV_Texture!C17,UV_Texture!$C$4:$C$21,1)</f>
        <v>#NAME?</v>
      </c>
      <c r="L17" t="e">
        <f ca="1">_xludf.RANK.AVG(UV_Texture!D17,UV_Texture!$D$4:$D$21,1)</f>
        <v>#NAME?</v>
      </c>
      <c r="M17" t="e">
        <f ca="1">_xludf.RANK.AVG(UV_Texture!E17,UV_Texture!$E$4:$E$21,1)</f>
        <v>#NAME?</v>
      </c>
      <c r="N17" t="e">
        <f ca="1">_xludf.RANK.AVG(UV_Texture!F17,UV_Texture!$F$4:$F$21,1)</f>
        <v>#NAME?</v>
      </c>
      <c r="O17">
        <v>14</v>
      </c>
    </row>
    <row r="18" spans="1:15" x14ac:dyDescent="0.3">
      <c r="A18">
        <v>15</v>
      </c>
      <c r="B18" t="e">
        <f ca="1">_xludf.RANK.AVG(RGB_Descriptors!B18,RGB_Descriptors!$B$4:$B$21,1)</f>
        <v>#NAME?</v>
      </c>
      <c r="C18" t="e">
        <f ca="1">_xludf.RANK.AVG(RGB_Descriptors!C18,RGB_Descriptors!$C$4:$C$21,1)</f>
        <v>#NAME?</v>
      </c>
      <c r="D18" t="e">
        <f ca="1">_xludf.RANK.AVG(RGB_Descriptors!D18,RGB_Descriptors!$D$4:$D$21,1)</f>
        <v>#NAME?</v>
      </c>
      <c r="E18" t="e">
        <f ca="1">_xludf.RANK.AVG(RGB_Descriptors!E18,RGB_Descriptors!$E$4:$E$21,1)</f>
        <v>#NAME?</v>
      </c>
      <c r="F18" t="e">
        <f ca="1">_xludf.RANK.AVG(RGB_Descriptors!F18,RGB_Descriptors!$F$4:$F$21,1)</f>
        <v>#NAME?</v>
      </c>
      <c r="G18" t="e">
        <f ca="1">_xludf.RANK.AVG(RGB_Descriptors!G18,RGB_Descriptors!$G$4:$G$21,1)</f>
        <v>#NAME?</v>
      </c>
      <c r="H18" t="e">
        <f ca="1">_xludf.RANK.AVG(RGB_Descriptors!H18,RGB_Descriptors!$H$4:$H$21,1)</f>
        <v>#NAME?</v>
      </c>
      <c r="I18" t="e">
        <f ca="1">_xludf.RANK.AVG(RGB_Descriptors!I18,RGB_Descriptors!$I$4:$I$21,1)</f>
        <v>#NAME?</v>
      </c>
      <c r="J18" t="e">
        <f ca="1">_xludf.RANK.AVG(UV_Texture!B18,UV_Texture!$B$4:$B$21,1)</f>
        <v>#NAME?</v>
      </c>
      <c r="K18" t="e">
        <f ca="1">_xludf.RANK.AVG(UV_Texture!C18,UV_Texture!$C$4:$C$21,1)</f>
        <v>#NAME?</v>
      </c>
      <c r="L18" t="e">
        <f ca="1">_xludf.RANK.AVG(UV_Texture!D18,UV_Texture!$D$4:$D$21,1)</f>
        <v>#NAME?</v>
      </c>
      <c r="M18" t="e">
        <f ca="1">_xludf.RANK.AVG(UV_Texture!E18,UV_Texture!$E$4:$E$21,1)</f>
        <v>#NAME?</v>
      </c>
      <c r="N18" t="e">
        <f ca="1">_xludf.RANK.AVG(UV_Texture!F18,UV_Texture!$F$4:$F$21,1)</f>
        <v>#NAME?</v>
      </c>
      <c r="O18">
        <v>15</v>
      </c>
    </row>
    <row r="19" spans="1:15" x14ac:dyDescent="0.3">
      <c r="A19">
        <v>16</v>
      </c>
      <c r="B19" t="e">
        <f ca="1">_xludf.RANK.AVG(RGB_Descriptors!B19,RGB_Descriptors!$B$4:$B$21,1)</f>
        <v>#NAME?</v>
      </c>
      <c r="C19" t="e">
        <f ca="1">_xludf.RANK.AVG(RGB_Descriptors!C19,RGB_Descriptors!$C$4:$C$21,1)</f>
        <v>#NAME?</v>
      </c>
      <c r="D19" t="e">
        <f ca="1">_xludf.RANK.AVG(RGB_Descriptors!D19,RGB_Descriptors!$D$4:$D$21,1)</f>
        <v>#NAME?</v>
      </c>
      <c r="E19" t="e">
        <f ca="1">_xludf.RANK.AVG(RGB_Descriptors!E19,RGB_Descriptors!$E$4:$E$21,1)</f>
        <v>#NAME?</v>
      </c>
      <c r="F19" t="e">
        <f ca="1">_xludf.RANK.AVG(RGB_Descriptors!F19,RGB_Descriptors!$F$4:$F$21,1)</f>
        <v>#NAME?</v>
      </c>
      <c r="G19" t="e">
        <f ca="1">_xludf.RANK.AVG(RGB_Descriptors!G19,RGB_Descriptors!$G$4:$G$21,1)</f>
        <v>#NAME?</v>
      </c>
      <c r="H19" t="e">
        <f ca="1">_xludf.RANK.AVG(RGB_Descriptors!H19,RGB_Descriptors!$H$4:$H$21,1)</f>
        <v>#NAME?</v>
      </c>
      <c r="I19" t="e">
        <f ca="1">_xludf.RANK.AVG(RGB_Descriptors!I19,RGB_Descriptors!$I$4:$I$21,1)</f>
        <v>#NAME?</v>
      </c>
      <c r="J19" t="e">
        <f ca="1">_xludf.RANK.AVG(UV_Texture!B19,UV_Texture!$B$4:$B$21,1)</f>
        <v>#NAME?</v>
      </c>
      <c r="K19" t="e">
        <f ca="1">_xludf.RANK.AVG(UV_Texture!C19,UV_Texture!$C$4:$C$21,1)</f>
        <v>#NAME?</v>
      </c>
      <c r="L19" t="e">
        <f ca="1">_xludf.RANK.AVG(UV_Texture!D19,UV_Texture!$D$4:$D$21,1)</f>
        <v>#NAME?</v>
      </c>
      <c r="M19" t="e">
        <f ca="1">_xludf.RANK.AVG(UV_Texture!E19,UV_Texture!$E$4:$E$21,1)</f>
        <v>#NAME?</v>
      </c>
      <c r="N19" t="e">
        <f ca="1">_xludf.RANK.AVG(UV_Texture!F19,UV_Texture!$F$4:$F$21,1)</f>
        <v>#NAME?</v>
      </c>
      <c r="O19">
        <v>16</v>
      </c>
    </row>
    <row r="20" spans="1:15" x14ac:dyDescent="0.3">
      <c r="A20">
        <v>17</v>
      </c>
      <c r="B20" t="e">
        <f ca="1">_xludf.RANK.AVG(RGB_Descriptors!B20,RGB_Descriptors!$B$4:$B$21,1)</f>
        <v>#NAME?</v>
      </c>
      <c r="C20" t="e">
        <f ca="1">_xludf.RANK.AVG(RGB_Descriptors!C20,RGB_Descriptors!$C$4:$C$21,1)</f>
        <v>#NAME?</v>
      </c>
      <c r="D20" t="e">
        <f ca="1">_xludf.RANK.AVG(RGB_Descriptors!D20,RGB_Descriptors!$D$4:$D$21,1)</f>
        <v>#NAME?</v>
      </c>
      <c r="E20" t="e">
        <f ca="1">_xludf.RANK.AVG(RGB_Descriptors!E20,RGB_Descriptors!$E$4:$E$21,1)</f>
        <v>#NAME?</v>
      </c>
      <c r="F20" t="e">
        <f ca="1">_xludf.RANK.AVG(RGB_Descriptors!F20,RGB_Descriptors!$F$4:$F$21,1)</f>
        <v>#NAME?</v>
      </c>
      <c r="G20" t="e">
        <f ca="1">_xludf.RANK.AVG(RGB_Descriptors!G20,RGB_Descriptors!$G$4:$G$21,1)</f>
        <v>#NAME?</v>
      </c>
      <c r="H20" t="e">
        <f ca="1">_xludf.RANK.AVG(RGB_Descriptors!H20,RGB_Descriptors!$H$4:$H$21,1)</f>
        <v>#NAME?</v>
      </c>
      <c r="I20" t="e">
        <f ca="1">_xludf.RANK.AVG(RGB_Descriptors!I20,RGB_Descriptors!$I$4:$I$21,1)</f>
        <v>#NAME?</v>
      </c>
      <c r="J20" t="e">
        <f ca="1">_xludf.RANK.AVG(UV_Texture!B20,UV_Texture!$B$4:$B$21,1)</f>
        <v>#NAME?</v>
      </c>
      <c r="K20" t="e">
        <f ca="1">_xludf.RANK.AVG(UV_Texture!C20,UV_Texture!$C$4:$C$21,1)</f>
        <v>#NAME?</v>
      </c>
      <c r="L20" t="e">
        <f ca="1">_xludf.RANK.AVG(UV_Texture!D20,UV_Texture!$D$4:$D$21,1)</f>
        <v>#NAME?</v>
      </c>
      <c r="M20" t="e">
        <f ca="1">_xludf.RANK.AVG(UV_Texture!E20,UV_Texture!$E$4:$E$21,1)</f>
        <v>#NAME?</v>
      </c>
      <c r="N20" t="e">
        <f ca="1">_xludf.RANK.AVG(UV_Texture!F20,UV_Texture!$F$4:$F$21,1)</f>
        <v>#NAME?</v>
      </c>
      <c r="O20">
        <v>17</v>
      </c>
    </row>
    <row r="21" spans="1:15" x14ac:dyDescent="0.3">
      <c r="A21">
        <v>18</v>
      </c>
      <c r="B21" t="e">
        <f ca="1">_xludf.RANK.AVG(RGB_Descriptors!B21,RGB_Descriptors!$B$4:$B$21,1)</f>
        <v>#NAME?</v>
      </c>
      <c r="C21" t="e">
        <f ca="1">_xludf.RANK.AVG(RGB_Descriptors!C21,RGB_Descriptors!$C$4:$C$21,1)</f>
        <v>#NAME?</v>
      </c>
      <c r="D21" t="e">
        <f ca="1">_xludf.RANK.AVG(RGB_Descriptors!D21,RGB_Descriptors!$D$4:$D$21,1)</f>
        <v>#NAME?</v>
      </c>
      <c r="E21" t="e">
        <f ca="1">_xludf.RANK.AVG(RGB_Descriptors!E21,RGB_Descriptors!$E$4:$E$21,1)</f>
        <v>#NAME?</v>
      </c>
      <c r="F21" t="e">
        <f ca="1">_xludf.RANK.AVG(RGB_Descriptors!F21,RGB_Descriptors!$F$4:$F$21,1)</f>
        <v>#NAME?</v>
      </c>
      <c r="G21" t="e">
        <f ca="1">_xludf.RANK.AVG(RGB_Descriptors!G21,RGB_Descriptors!$G$4:$G$21,1)</f>
        <v>#NAME?</v>
      </c>
      <c r="H21" t="e">
        <f ca="1">_xludf.RANK.AVG(RGB_Descriptors!H21,RGB_Descriptors!$H$4:$H$21,1)</f>
        <v>#NAME?</v>
      </c>
      <c r="I21" t="e">
        <f ca="1">_xludf.RANK.AVG(RGB_Descriptors!I21,RGB_Descriptors!$I$4:$I$21,1)</f>
        <v>#NAME?</v>
      </c>
      <c r="J21" t="e">
        <f ca="1">_xludf.RANK.AVG(UV_Texture!B21,UV_Texture!$B$4:$B$21,1)</f>
        <v>#NAME?</v>
      </c>
      <c r="K21" t="e">
        <f ca="1">_xludf.RANK.AVG(UV_Texture!C21,UV_Texture!$C$4:$C$21,1)</f>
        <v>#NAME?</v>
      </c>
      <c r="L21" t="e">
        <f ca="1">_xludf.RANK.AVG(UV_Texture!D21,UV_Texture!$D$4:$D$21,1)</f>
        <v>#NAME?</v>
      </c>
      <c r="M21" t="e">
        <f ca="1">_xludf.RANK.AVG(UV_Texture!E21,UV_Texture!$E$4:$E$21,1)</f>
        <v>#NAME?</v>
      </c>
      <c r="N21" t="e">
        <f ca="1">_xludf.RANK.AVG(UV_Texture!F21,UV_Texture!$F$4:$F$21,1)</f>
        <v>#NAME?</v>
      </c>
      <c r="O21">
        <v>18</v>
      </c>
    </row>
  </sheetData>
  <mergeCells count="1">
    <mergeCell ref="A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workbookViewId="0"/>
  </sheetViews>
  <sheetFormatPr defaultRowHeight="14.4" x14ac:dyDescent="0.3"/>
  <cols>
    <col min="1" max="1" width="33.6640625" customWidth="1"/>
    <col min="2" max="2" width="10.21875" customWidth="1"/>
    <col min="3" max="3" width="9.33203125" customWidth="1"/>
    <col min="4" max="4" width="15.33203125" customWidth="1"/>
    <col min="5" max="5" width="11.21875" customWidth="1"/>
    <col min="6" max="6" width="10.6640625" customWidth="1"/>
    <col min="7" max="7" width="8.33203125" customWidth="1"/>
  </cols>
  <sheetData>
    <row r="1" spans="1:7" ht="18" x14ac:dyDescent="0.3">
      <c r="A1" s="13" t="s">
        <v>121</v>
      </c>
      <c r="B1" s="13"/>
      <c r="C1" s="13"/>
      <c r="D1" s="13"/>
      <c r="E1" s="13"/>
      <c r="F1" s="13"/>
      <c r="G1" s="13"/>
    </row>
    <row r="3" spans="1:7" ht="28.8" x14ac:dyDescent="0.3">
      <c r="A3" s="3" t="s">
        <v>122</v>
      </c>
      <c r="B3" s="3" t="s">
        <v>123</v>
      </c>
      <c r="C3" s="3" t="s">
        <v>124</v>
      </c>
      <c r="D3" s="3" t="s">
        <v>125</v>
      </c>
      <c r="E3" s="3" t="s">
        <v>126</v>
      </c>
      <c r="F3" s="3" t="s">
        <v>127</v>
      </c>
      <c r="G3" s="3" t="s">
        <v>128</v>
      </c>
    </row>
    <row r="4" spans="1:7" x14ac:dyDescent="0.3">
      <c r="A4" t="s">
        <v>43</v>
      </c>
      <c r="B4" s="5">
        <f>RGB_Descriptors!B4</f>
        <v>197.84</v>
      </c>
      <c r="C4" s="5">
        <f>RGB_Descriptors!B21</f>
        <v>121.43</v>
      </c>
      <c r="D4" s="4">
        <f t="shared" ref="D4:D11" si="0">(C4-B4)/B4*100</f>
        <v>-38.622118883946619</v>
      </c>
      <c r="E4" s="10" t="e">
        <f ca="1">CORREL(Spearman_Ranks!B4:B21,Spearman_Ranks!$A$4:$A$21)</f>
        <v>#NAME?</v>
      </c>
      <c r="F4" s="10">
        <v>-0.86599999999999999</v>
      </c>
      <c r="G4" s="10" t="e">
        <f t="shared" ref="G4:G11" ca="1" si="1">E4-F4</f>
        <v>#NAME?</v>
      </c>
    </row>
    <row r="5" spans="1:7" x14ac:dyDescent="0.3">
      <c r="A5" t="s">
        <v>48</v>
      </c>
      <c r="B5" s="5">
        <f>RGB_Descriptors!C4</f>
        <v>97.68</v>
      </c>
      <c r="C5" s="5">
        <f>RGB_Descriptors!C21</f>
        <v>79.92</v>
      </c>
      <c r="D5" s="4">
        <f t="shared" si="0"/>
        <v>-18.181818181818183</v>
      </c>
      <c r="E5" s="10" t="e">
        <f ca="1">CORREL(Spearman_Ranks!C4:C21,Spearman_Ranks!$A$4:$A$21)</f>
        <v>#NAME?</v>
      </c>
      <c r="F5" s="10">
        <v>-0.65100000000000002</v>
      </c>
      <c r="G5" s="10" t="e">
        <f t="shared" ca="1" si="1"/>
        <v>#NAME?</v>
      </c>
    </row>
    <row r="6" spans="1:7" x14ac:dyDescent="0.3">
      <c r="A6" t="s">
        <v>50</v>
      </c>
      <c r="B6" s="5">
        <f>RGB_Descriptors!D4</f>
        <v>31.59</v>
      </c>
      <c r="C6" s="5">
        <f>RGB_Descriptors!D21</f>
        <v>59.24</v>
      </c>
      <c r="D6" s="4">
        <f t="shared" si="0"/>
        <v>87.527698638809753</v>
      </c>
      <c r="E6" s="10" t="e">
        <f ca="1">CORREL(Spearman_Ranks!D4:D21,Spearman_Ranks!$A$4:$A$21)</f>
        <v>#NAME?</v>
      </c>
      <c r="F6" s="10">
        <v>0.89900000000000002</v>
      </c>
      <c r="G6" s="10" t="e">
        <f t="shared" ca="1" si="1"/>
        <v>#NAME?</v>
      </c>
    </row>
    <row r="7" spans="1:7" x14ac:dyDescent="0.3">
      <c r="A7" t="s">
        <v>52</v>
      </c>
      <c r="B7" s="5">
        <f>RGB_Descriptors!E4</f>
        <v>93.16</v>
      </c>
      <c r="C7" s="5">
        <f>RGB_Descriptors!E21</f>
        <v>51.8</v>
      </c>
      <c r="D7" s="4">
        <f t="shared" si="0"/>
        <v>-44.396736796908549</v>
      </c>
      <c r="E7" s="10" t="e">
        <f ca="1">CORREL(Spearman_Ranks!E4:E21,Spearman_Ranks!$A$4:$A$21)</f>
        <v>#NAME?</v>
      </c>
      <c r="F7" s="10">
        <v>-0.93200000000000005</v>
      </c>
      <c r="G7" s="10" t="e">
        <f t="shared" ca="1" si="1"/>
        <v>#NAME?</v>
      </c>
    </row>
    <row r="8" spans="1:7" x14ac:dyDescent="0.3">
      <c r="A8" t="s">
        <v>56</v>
      </c>
      <c r="B8" s="5">
        <f>RGB_Descriptors!F4</f>
        <v>155385</v>
      </c>
      <c r="C8" s="5">
        <f>RGB_Descriptors!F21</f>
        <v>97161</v>
      </c>
      <c r="D8" s="4">
        <f t="shared" si="0"/>
        <v>-37.470798339608066</v>
      </c>
      <c r="E8" s="10" t="e">
        <f ca="1">CORREL(Spearman_Ranks!F4:F21,Spearman_Ranks!$A$4:$A$21)</f>
        <v>#NAME?</v>
      </c>
      <c r="F8" s="10">
        <v>-0.59299999999999997</v>
      </c>
      <c r="G8" s="10" t="e">
        <f t="shared" ca="1" si="1"/>
        <v>#NAME?</v>
      </c>
    </row>
    <row r="9" spans="1:7" x14ac:dyDescent="0.3">
      <c r="A9" t="s">
        <v>60</v>
      </c>
      <c r="B9" s="5">
        <f>RGB_Descriptors!G4</f>
        <v>5.32</v>
      </c>
      <c r="C9" s="5">
        <f>RGB_Descriptors!G21</f>
        <v>3.67</v>
      </c>
      <c r="D9" s="4">
        <f t="shared" si="0"/>
        <v>-31.015037593984967</v>
      </c>
      <c r="E9" s="10" t="e">
        <f ca="1">CORREL(Spearman_Ranks!G4:G21,Spearman_Ranks!$A$4:$A$21)</f>
        <v>#NAME?</v>
      </c>
      <c r="F9" s="10">
        <v>-0.58199999999999996</v>
      </c>
      <c r="G9" s="10" t="e">
        <f t="shared" ca="1" si="1"/>
        <v>#NAME?</v>
      </c>
    </row>
    <row r="10" spans="1:7" x14ac:dyDescent="0.3">
      <c r="A10" t="s">
        <v>64</v>
      </c>
      <c r="B10" s="5">
        <f>RGB_Descriptors!H4</f>
        <v>0.99939999999999996</v>
      </c>
      <c r="C10" s="5">
        <f>RGB_Descriptors!H21</f>
        <v>0.99960000000000004</v>
      </c>
      <c r="D10" s="4">
        <f t="shared" si="0"/>
        <v>2.0012007204331501E-2</v>
      </c>
      <c r="E10" s="10" t="e">
        <f ca="1">CORREL(Spearman_Ranks!H4:H21,Spearman_Ranks!$A$4:$A$21)</f>
        <v>#NAME?</v>
      </c>
      <c r="F10" s="10">
        <v>0.32700000000000001</v>
      </c>
      <c r="G10" s="10" t="e">
        <f t="shared" ca="1" si="1"/>
        <v>#NAME?</v>
      </c>
    </row>
    <row r="11" spans="1:7" x14ac:dyDescent="0.3">
      <c r="A11" t="s">
        <v>67</v>
      </c>
      <c r="B11" s="5">
        <f>RGB_Descriptors!I4</f>
        <v>41.05</v>
      </c>
      <c r="C11" s="5">
        <f>RGB_Descriptors!I21</f>
        <v>49.75</v>
      </c>
      <c r="D11" s="4">
        <f t="shared" si="0"/>
        <v>21.193666260657743</v>
      </c>
      <c r="E11" s="10" t="e">
        <f ca="1">CORREL(Spearman_Ranks!I4:I21,Spearman_Ranks!$A$4:$A$21)</f>
        <v>#NAME?</v>
      </c>
      <c r="F11" s="10">
        <v>0.49199999999999999</v>
      </c>
      <c r="G11" s="10" t="e">
        <f t="shared" ca="1" si="1"/>
        <v>#NAME?</v>
      </c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workbookViewId="0"/>
  </sheetViews>
  <sheetFormatPr defaultRowHeight="14.4" x14ac:dyDescent="0.3"/>
  <cols>
    <col min="1" max="1" width="39.88671875" customWidth="1"/>
    <col min="2" max="3" width="7.44140625" customWidth="1"/>
    <col min="4" max="4" width="15.33203125" customWidth="1"/>
    <col min="5" max="5" width="11.21875" customWidth="1"/>
    <col min="6" max="6" width="10.6640625" customWidth="1"/>
    <col min="7" max="7" width="8.33203125" customWidth="1"/>
  </cols>
  <sheetData>
    <row r="1" spans="1:7" ht="18" x14ac:dyDescent="0.3">
      <c r="A1" s="13" t="s">
        <v>129</v>
      </c>
      <c r="B1" s="13"/>
      <c r="C1" s="13"/>
      <c r="D1" s="13"/>
      <c r="E1" s="13"/>
      <c r="F1" s="13"/>
      <c r="G1" s="13"/>
    </row>
    <row r="3" spans="1:7" ht="28.8" x14ac:dyDescent="0.3">
      <c r="A3" s="3" t="s">
        <v>122</v>
      </c>
      <c r="B3" s="3" t="s">
        <v>123</v>
      </c>
      <c r="C3" s="3" t="s">
        <v>124</v>
      </c>
      <c r="D3" s="3" t="s">
        <v>125</v>
      </c>
      <c r="E3" s="3" t="s">
        <v>126</v>
      </c>
      <c r="F3" s="3" t="s">
        <v>127</v>
      </c>
      <c r="G3" s="3" t="s">
        <v>128</v>
      </c>
    </row>
    <row r="4" spans="1:7" x14ac:dyDescent="0.3">
      <c r="A4" t="s">
        <v>71</v>
      </c>
      <c r="B4" s="11">
        <f>UV_Texture!B4</f>
        <v>3.3382819000000001E-2</v>
      </c>
      <c r="C4" s="11">
        <f>UV_Texture!B21</f>
        <v>3.5044664000000003E-2</v>
      </c>
      <c r="D4" s="4">
        <f>(C4-B4)/B4*100</f>
        <v>4.9781445958773052</v>
      </c>
      <c r="E4" s="10" t="e">
        <f ca="1">CORREL(Spearman_Ranks!J4:J21,Spearman_Ranks!$A$4:$A$21)</f>
        <v>#NAME?</v>
      </c>
      <c r="F4" s="10">
        <v>0.63900000000000001</v>
      </c>
      <c r="G4" s="10" t="e">
        <f ca="1">E4-F4</f>
        <v>#NAME?</v>
      </c>
    </row>
    <row r="5" spans="1:7" x14ac:dyDescent="0.3">
      <c r="A5" t="s">
        <v>75</v>
      </c>
      <c r="B5" s="11">
        <f>UV_Texture!C4</f>
        <v>0.96699525399999997</v>
      </c>
      <c r="C5" s="11">
        <f>UV_Texture!C21</f>
        <v>0.90641756299999998</v>
      </c>
      <c r="D5" s="4">
        <f>(C5-B5)/B5*100</f>
        <v>-6.2645282641687086</v>
      </c>
      <c r="E5" s="10" t="e">
        <f ca="1">CORREL(Spearman_Ranks!K4:K21,Spearman_Ranks!$A$4:$A$21)</f>
        <v>#NAME?</v>
      </c>
      <c r="F5" s="10">
        <v>-0.47599999999999998</v>
      </c>
      <c r="G5" s="10" t="e">
        <f ca="1">E5-F5</f>
        <v>#NAME?</v>
      </c>
    </row>
    <row r="6" spans="1:7" x14ac:dyDescent="0.3">
      <c r="A6" t="s">
        <v>78</v>
      </c>
      <c r="B6" s="11">
        <f>UV_Texture!D4</f>
        <v>0.55584124899999998</v>
      </c>
      <c r="C6" s="11">
        <f>UV_Texture!D21</f>
        <v>0.77028360399999996</v>
      </c>
      <c r="D6" s="4">
        <f>(C6-B6)/B6*100</f>
        <v>38.579784315359433</v>
      </c>
      <c r="E6" s="10" t="e">
        <f ca="1">CORREL(Spearman_Ranks!L4:L21,Spearman_Ranks!$A$4:$A$21)</f>
        <v>#NAME?</v>
      </c>
      <c r="F6" s="10">
        <v>-0.214</v>
      </c>
      <c r="G6" s="10" t="e">
        <f ca="1">E6-F6</f>
        <v>#NAME?</v>
      </c>
    </row>
    <row r="7" spans="1:7" x14ac:dyDescent="0.3">
      <c r="A7" t="s">
        <v>80</v>
      </c>
      <c r="B7" s="11">
        <f>UV_Texture!E4</f>
        <v>0.98402872600000002</v>
      </c>
      <c r="C7" s="11">
        <f>UV_Texture!E21</f>
        <v>0.98263656099999996</v>
      </c>
      <c r="D7" s="4">
        <f>(C7-B7)/B7*100</f>
        <v>-0.14147605280377315</v>
      </c>
      <c r="E7" s="10" t="e">
        <f ca="1">CORREL(Spearman_Ranks!M4:M21,Spearman_Ranks!$A$4:$A$21)</f>
        <v>#NAME?</v>
      </c>
      <c r="F7" s="10">
        <v>-0.63900000000000001</v>
      </c>
      <c r="G7" s="10" t="e">
        <f ca="1">E7-F7</f>
        <v>#NAME?</v>
      </c>
    </row>
    <row r="8" spans="1:7" x14ac:dyDescent="0.3">
      <c r="A8" t="s">
        <v>82</v>
      </c>
      <c r="B8" s="11">
        <f>UV_Texture!F4</f>
        <v>3.3562845700000001</v>
      </c>
      <c r="C8" s="11">
        <f>UV_Texture!F21</f>
        <v>2.7978601400000001</v>
      </c>
      <c r="D8" s="4">
        <f>(C8-B8)/B8*100</f>
        <v>-16.63817290677471</v>
      </c>
      <c r="E8" s="10" t="e">
        <f ca="1">CORREL(Spearman_Ranks!N4:N21,Spearman_Ranks!$A$4:$A$21)</f>
        <v>#NAME?</v>
      </c>
      <c r="F8" s="10">
        <v>0.185</v>
      </c>
      <c r="G8" s="10" t="e">
        <f ca="1">E8-F8</f>
        <v>#NAME?</v>
      </c>
    </row>
  </sheetData>
  <mergeCells count="1"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"/>
  <sheetViews>
    <sheetView workbookViewId="0"/>
  </sheetViews>
  <sheetFormatPr defaultRowHeight="14.4" x14ac:dyDescent="0.3"/>
  <cols>
    <col min="1" max="1" width="22" customWidth="1"/>
    <col min="2" max="2" width="9.6640625" customWidth="1"/>
    <col min="3" max="3" width="11.77734375" customWidth="1"/>
    <col min="4" max="4" width="8.33203125" customWidth="1"/>
    <col min="5" max="5" width="13.44140625" customWidth="1"/>
    <col min="6" max="6" width="16.88671875" customWidth="1"/>
  </cols>
  <sheetData>
    <row r="1" spans="1:6" ht="18" x14ac:dyDescent="0.3">
      <c r="A1" s="13" t="s">
        <v>130</v>
      </c>
      <c r="B1" s="13"/>
      <c r="C1" s="13"/>
      <c r="D1" s="13"/>
      <c r="E1" s="13"/>
      <c r="F1" s="13"/>
    </row>
    <row r="3" spans="1:6" ht="28.8" x14ac:dyDescent="0.3">
      <c r="A3" s="3" t="s">
        <v>46</v>
      </c>
      <c r="B3" s="3" t="s">
        <v>131</v>
      </c>
      <c r="C3" s="3" t="s">
        <v>132</v>
      </c>
      <c r="D3" s="3" t="s">
        <v>133</v>
      </c>
      <c r="E3" s="3" t="s">
        <v>134</v>
      </c>
      <c r="F3" s="3" t="s">
        <v>135</v>
      </c>
    </row>
    <row r="4" spans="1:6" x14ac:dyDescent="0.3">
      <c r="A4" t="s">
        <v>43</v>
      </c>
      <c r="B4" s="10" t="e">
        <f ca="1">CORREL(Spearman_Ranks!$B$4:$B$21,Spearman_Ranks!$J$4:$J$21)</f>
        <v>#NAME?</v>
      </c>
      <c r="C4" s="10" t="e">
        <f ca="1">CORREL(Spearman_Ranks!$B$4:$B$21,Spearman_Ranks!$K$4:$K$21)</f>
        <v>#NAME?</v>
      </c>
      <c r="D4" s="10" t="e">
        <f ca="1">CORREL(Spearman_Ranks!$B$4:$B$21,Spearman_Ranks!$L$4:$L$21)</f>
        <v>#NAME?</v>
      </c>
      <c r="E4" s="10" t="e">
        <f ca="1">CORREL(Spearman_Ranks!$B$4:$B$21,Spearman_Ranks!$M$4:$M$21)</f>
        <v>#NAME?</v>
      </c>
      <c r="F4" s="10" t="e">
        <f ca="1">CORREL(Spearman_Ranks!$B$4:$B$21,Spearman_Ranks!$N$4:$N$21)</f>
        <v>#NAME?</v>
      </c>
    </row>
    <row r="5" spans="1:6" x14ac:dyDescent="0.3">
      <c r="A5" t="s">
        <v>48</v>
      </c>
      <c r="B5" s="10" t="e">
        <f ca="1">CORREL(Spearman_Ranks!$C$4:$C$21,Spearman_Ranks!$J$4:$J$21)</f>
        <v>#NAME?</v>
      </c>
      <c r="C5" s="10" t="e">
        <f ca="1">CORREL(Spearman_Ranks!$C$4:$C$21,Spearman_Ranks!$K$4:$K$21)</f>
        <v>#NAME?</v>
      </c>
      <c r="D5" s="10" t="e">
        <f ca="1">CORREL(Spearman_Ranks!$C$4:$C$21,Spearman_Ranks!$L$4:$L$21)</f>
        <v>#NAME?</v>
      </c>
      <c r="E5" s="10" t="e">
        <f ca="1">CORREL(Spearman_Ranks!$C$4:$C$21,Spearman_Ranks!$M$4:$M$21)</f>
        <v>#NAME?</v>
      </c>
      <c r="F5" s="10" t="e">
        <f ca="1">CORREL(Spearman_Ranks!$C$4:$C$21,Spearman_Ranks!$N$4:$N$21)</f>
        <v>#NAME?</v>
      </c>
    </row>
    <row r="6" spans="1:6" x14ac:dyDescent="0.3">
      <c r="A6" t="s">
        <v>50</v>
      </c>
      <c r="B6" s="10" t="e">
        <f ca="1">CORREL(Spearman_Ranks!$D$4:$D$21,Spearman_Ranks!$J$4:$J$21)</f>
        <v>#NAME?</v>
      </c>
      <c r="C6" s="10" t="e">
        <f ca="1">CORREL(Spearman_Ranks!$D$4:$D$21,Spearman_Ranks!$K$4:$K$21)</f>
        <v>#NAME?</v>
      </c>
      <c r="D6" s="10" t="e">
        <f ca="1">CORREL(Spearman_Ranks!$D$4:$D$21,Spearman_Ranks!$L$4:$L$21)</f>
        <v>#NAME?</v>
      </c>
      <c r="E6" s="10" t="e">
        <f ca="1">CORREL(Spearman_Ranks!$D$4:$D$21,Spearman_Ranks!$M$4:$M$21)</f>
        <v>#NAME?</v>
      </c>
      <c r="F6" s="10" t="e">
        <f ca="1">CORREL(Spearman_Ranks!$D$4:$D$21,Spearman_Ranks!$N$4:$N$21)</f>
        <v>#NAME?</v>
      </c>
    </row>
    <row r="7" spans="1:6" x14ac:dyDescent="0.3">
      <c r="A7" t="s">
        <v>52</v>
      </c>
      <c r="B7" s="10" t="e">
        <f ca="1">CORREL(Spearman_Ranks!$E$4:$E$21,Spearman_Ranks!$J$4:$J$21)</f>
        <v>#NAME?</v>
      </c>
      <c r="C7" s="10" t="e">
        <f ca="1">CORREL(Spearman_Ranks!$E$4:$E$21,Spearman_Ranks!$K$4:$K$21)</f>
        <v>#NAME?</v>
      </c>
      <c r="D7" s="10" t="e">
        <f ca="1">CORREL(Spearman_Ranks!$E$4:$E$21,Spearman_Ranks!$L$4:$L$21)</f>
        <v>#NAME?</v>
      </c>
      <c r="E7" s="10" t="e">
        <f ca="1">CORREL(Spearman_Ranks!$E$4:$E$21,Spearman_Ranks!$M$4:$M$21)</f>
        <v>#NAME?</v>
      </c>
      <c r="F7" s="10" t="e">
        <f ca="1">CORREL(Spearman_Ranks!$E$4:$E$21,Spearman_Ranks!$N$4:$N$21)</f>
        <v>#NAME?</v>
      </c>
    </row>
    <row r="8" spans="1:6" x14ac:dyDescent="0.3">
      <c r="A8" t="s">
        <v>136</v>
      </c>
      <c r="B8" s="10" t="e">
        <f ca="1">CORREL(Spearman_Ranks!$F$4:$F$21,Spearman_Ranks!$J$4:$J$21)</f>
        <v>#NAME?</v>
      </c>
      <c r="C8" s="10" t="e">
        <f ca="1">CORREL(Spearman_Ranks!$F$4:$F$21,Spearman_Ranks!$K$4:$K$21)</f>
        <v>#NAME?</v>
      </c>
      <c r="D8" s="10" t="e">
        <f ca="1">CORREL(Spearman_Ranks!$F$4:$F$21,Spearman_Ranks!$L$4:$L$21)</f>
        <v>#NAME?</v>
      </c>
      <c r="E8" s="10" t="e">
        <f ca="1">CORREL(Spearman_Ranks!$F$4:$F$21,Spearman_Ranks!$M$4:$M$21)</f>
        <v>#NAME?</v>
      </c>
      <c r="F8" s="10" t="e">
        <f ca="1">CORREL(Spearman_Ranks!$F$4:$F$21,Spearman_Ranks!$N$4:$N$21)</f>
        <v>#NAME?</v>
      </c>
    </row>
    <row r="9" spans="1:6" x14ac:dyDescent="0.3">
      <c r="A9" t="s">
        <v>137</v>
      </c>
      <c r="B9" s="10" t="e">
        <f ca="1">CORREL(Spearman_Ranks!$G$4:$G$21,Spearman_Ranks!$J$4:$J$21)</f>
        <v>#NAME?</v>
      </c>
      <c r="C9" s="10" t="e">
        <f ca="1">CORREL(Spearman_Ranks!$G$4:$G$21,Spearman_Ranks!$K$4:$K$21)</f>
        <v>#NAME?</v>
      </c>
      <c r="D9" s="10" t="e">
        <f ca="1">CORREL(Spearman_Ranks!$G$4:$G$21,Spearman_Ranks!$L$4:$L$21)</f>
        <v>#NAME?</v>
      </c>
      <c r="E9" s="10" t="e">
        <f ca="1">CORREL(Spearman_Ranks!$G$4:$G$21,Spearman_Ranks!$M$4:$M$21)</f>
        <v>#NAME?</v>
      </c>
      <c r="F9" s="10" t="e">
        <f ca="1">CORREL(Spearman_Ranks!$G$4:$G$21,Spearman_Ranks!$N$4:$N$21)</f>
        <v>#NAME?</v>
      </c>
    </row>
    <row r="10" spans="1:6" x14ac:dyDescent="0.3">
      <c r="A10" t="s">
        <v>138</v>
      </c>
      <c r="B10" s="10" t="e">
        <f ca="1">CORREL(Spearman_Ranks!$I$4:$I$21,Spearman_Ranks!$J$4:$J$21)</f>
        <v>#NAME?</v>
      </c>
      <c r="C10" s="10" t="e">
        <f ca="1">CORREL(Spearman_Ranks!$I$4:$I$21,Spearman_Ranks!$K$4:$K$21)</f>
        <v>#NAME?</v>
      </c>
      <c r="D10" s="10" t="e">
        <f ca="1">CORREL(Spearman_Ranks!$I$4:$I$21,Spearman_Ranks!$L$4:$L$21)</f>
        <v>#NAME?</v>
      </c>
      <c r="E10" s="10" t="e">
        <f ca="1">CORREL(Spearman_Ranks!$I$4:$I$21,Spearman_Ranks!$M$4:$M$21)</f>
        <v>#NAME?</v>
      </c>
      <c r="F10" s="10" t="e">
        <f ca="1">CORREL(Spearman_Ranks!$I$4:$I$21,Spearman_Ranks!$N$4:$N$21)</f>
        <v>#NAME?</v>
      </c>
    </row>
  </sheetData>
  <mergeCells count="1">
    <mergeCell ref="A1:F1"/>
  </mergeCells>
  <conditionalFormatting sqref="B4:F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3"/>
  <sheetViews>
    <sheetView workbookViewId="0"/>
  </sheetViews>
  <sheetFormatPr defaultRowHeight="14.4" x14ac:dyDescent="0.3"/>
  <cols>
    <col min="1" max="1" width="34" customWidth="1"/>
    <col min="2" max="2" width="14.77734375" customWidth="1"/>
    <col min="3" max="3" width="9.33203125" customWidth="1"/>
    <col min="4" max="4" width="7.88671875" customWidth="1"/>
    <col min="5" max="5" width="5.21875" customWidth="1"/>
  </cols>
  <sheetData>
    <row r="1" spans="1:5" ht="18" x14ac:dyDescent="0.3">
      <c r="A1" s="13" t="s">
        <v>139</v>
      </c>
      <c r="B1" s="13"/>
      <c r="C1" s="13"/>
      <c r="D1" s="13"/>
      <c r="E1" s="13"/>
    </row>
    <row r="3" spans="1:5" ht="28.8" x14ac:dyDescent="0.3">
      <c r="A3" s="3" t="s">
        <v>140</v>
      </c>
      <c r="B3" s="3" t="s">
        <v>141</v>
      </c>
      <c r="C3" s="3" t="s">
        <v>142</v>
      </c>
      <c r="D3" s="3" t="s">
        <v>143</v>
      </c>
      <c r="E3" s="3" t="s">
        <v>144</v>
      </c>
    </row>
    <row r="4" spans="1:5" x14ac:dyDescent="0.3">
      <c r="A4" t="s">
        <v>145</v>
      </c>
      <c r="B4" s="11">
        <f>RGB_Descriptors!B4</f>
        <v>197.84</v>
      </c>
      <c r="C4" s="11">
        <v>197.84</v>
      </c>
      <c r="D4" s="11">
        <v>1E-3</v>
      </c>
      <c r="E4" t="str">
        <f t="shared" ref="E4:E13" si="0">IF(ABS(B4-C4)&lt;=D4,"PASS","CHECK")</f>
        <v>PASS</v>
      </c>
    </row>
    <row r="5" spans="1:5" x14ac:dyDescent="0.3">
      <c r="A5" t="s">
        <v>146</v>
      </c>
      <c r="B5" s="11">
        <f>RGB_Descriptors!B21</f>
        <v>121.43</v>
      </c>
      <c r="C5" s="11">
        <v>121.43</v>
      </c>
      <c r="D5" s="11">
        <v>1E-3</v>
      </c>
      <c r="E5" t="str">
        <f t="shared" si="0"/>
        <v>PASS</v>
      </c>
    </row>
    <row r="6" spans="1:5" x14ac:dyDescent="0.3">
      <c r="A6" t="s">
        <v>147</v>
      </c>
      <c r="B6" s="11">
        <f>RGB_Descriptors!E21</f>
        <v>51.8</v>
      </c>
      <c r="C6" s="11">
        <v>51.8</v>
      </c>
      <c r="D6" s="11">
        <v>1E-3</v>
      </c>
      <c r="E6" t="str">
        <f t="shared" si="0"/>
        <v>PASS</v>
      </c>
    </row>
    <row r="7" spans="1:5" x14ac:dyDescent="0.3">
      <c r="A7" t="s">
        <v>148</v>
      </c>
      <c r="B7" s="11">
        <f>UV_Texture!B15</f>
        <v>0.123126607</v>
      </c>
      <c r="C7" s="11">
        <v>0.123126607</v>
      </c>
      <c r="D7" s="11">
        <v>1.0000000000000001E-9</v>
      </c>
      <c r="E7" t="str">
        <f t="shared" si="0"/>
        <v>PASS</v>
      </c>
    </row>
    <row r="8" spans="1:5" x14ac:dyDescent="0.3">
      <c r="A8" t="s">
        <v>149</v>
      </c>
      <c r="B8" s="11">
        <f>UV_Texture!D15</f>
        <v>0.41341229400000001</v>
      </c>
      <c r="C8" s="11">
        <v>0.41341229400000001</v>
      </c>
      <c r="D8" s="11">
        <v>1.0000000000000001E-9</v>
      </c>
      <c r="E8" t="str">
        <f t="shared" si="0"/>
        <v>PASS</v>
      </c>
    </row>
    <row r="9" spans="1:5" x14ac:dyDescent="0.3">
      <c r="A9" t="s">
        <v>150</v>
      </c>
      <c r="B9" s="11">
        <f>UV_Texture!F15</f>
        <v>3.83887921</v>
      </c>
      <c r="C9" s="11">
        <v>3.83887921</v>
      </c>
      <c r="D9" s="11">
        <v>1E-8</v>
      </c>
      <c r="E9" t="str">
        <f t="shared" si="0"/>
        <v>PASS</v>
      </c>
    </row>
    <row r="10" spans="1:5" x14ac:dyDescent="0.3">
      <c r="A10" t="s">
        <v>151</v>
      </c>
      <c r="B10" s="11">
        <f>AVERAGE(Environment_Context!B4:B21)</f>
        <v>33.863888888888887</v>
      </c>
      <c r="C10" s="11">
        <v>33.8638888889</v>
      </c>
      <c r="D10" s="11">
        <v>1E-4</v>
      </c>
      <c r="E10" t="str">
        <f t="shared" si="0"/>
        <v>PASS</v>
      </c>
    </row>
    <row r="11" spans="1:5" x14ac:dyDescent="0.3">
      <c r="A11" t="s">
        <v>152</v>
      </c>
      <c r="B11" s="11">
        <f>AVERAGE(Environment_Context!C4:C21)</f>
        <v>97.272222222222226</v>
      </c>
      <c r="C11" s="11">
        <v>97.2722222222</v>
      </c>
      <c r="D11" s="11">
        <v>1E-4</v>
      </c>
      <c r="E11" t="str">
        <f t="shared" si="0"/>
        <v>PASS</v>
      </c>
    </row>
    <row r="12" spans="1:5" x14ac:dyDescent="0.3">
      <c r="A12" t="s">
        <v>153</v>
      </c>
      <c r="B12" s="11">
        <f>MIN(Environment_Context!B4:B21)</f>
        <v>31.7</v>
      </c>
      <c r="C12" s="11">
        <v>31.7</v>
      </c>
      <c r="D12" s="11">
        <v>1E-3</v>
      </c>
      <c r="E12" t="str">
        <f t="shared" si="0"/>
        <v>PASS</v>
      </c>
    </row>
    <row r="13" spans="1:5" x14ac:dyDescent="0.3">
      <c r="A13" t="s">
        <v>154</v>
      </c>
      <c r="B13" s="11">
        <f>MAX(Environment_Context!B4:B21)</f>
        <v>37.4</v>
      </c>
      <c r="C13" s="11">
        <v>37.4</v>
      </c>
      <c r="D13" s="11">
        <v>1E-3</v>
      </c>
      <c r="E13" t="str">
        <f t="shared" si="0"/>
        <v>PASS</v>
      </c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8"/>
  <sheetViews>
    <sheetView workbookViewId="0"/>
  </sheetViews>
  <sheetFormatPr defaultRowHeight="14.4" x14ac:dyDescent="0.3"/>
  <cols>
    <col min="1" max="1" width="26.109375" customWidth="1"/>
    <col min="2" max="2" width="4.77734375" customWidth="1"/>
    <col min="3" max="3" width="27.109375" customWidth="1"/>
    <col min="4" max="4" width="10.33203125" customWidth="1"/>
  </cols>
  <sheetData>
    <row r="1" spans="1:8" ht="18" x14ac:dyDescent="0.3">
      <c r="A1" s="13" t="s">
        <v>155</v>
      </c>
      <c r="B1" s="13"/>
      <c r="C1" s="13"/>
      <c r="D1" s="13"/>
      <c r="E1" s="13"/>
      <c r="F1" s="13"/>
      <c r="G1" s="13"/>
      <c r="H1" s="13"/>
    </row>
    <row r="3" spans="1:8" ht="28.8" x14ac:dyDescent="0.3">
      <c r="A3" s="3" t="s">
        <v>156</v>
      </c>
      <c r="B3" s="3" t="s">
        <v>157</v>
      </c>
      <c r="C3" s="3" t="s">
        <v>158</v>
      </c>
      <c r="D3" s="3" t="s">
        <v>144</v>
      </c>
    </row>
    <row r="4" spans="1:8" x14ac:dyDescent="0.3">
      <c r="A4" t="s">
        <v>159</v>
      </c>
      <c r="B4">
        <v>1</v>
      </c>
      <c r="C4" t="s">
        <v>160</v>
      </c>
      <c r="D4" s="12" t="s">
        <v>161</v>
      </c>
    </row>
    <row r="5" spans="1:8" x14ac:dyDescent="0.3">
      <c r="A5" t="s">
        <v>162</v>
      </c>
      <c r="B5">
        <v>18</v>
      </c>
      <c r="C5" t="s">
        <v>163</v>
      </c>
      <c r="D5" s="12" t="s">
        <v>164</v>
      </c>
    </row>
    <row r="6" spans="1:8" x14ac:dyDescent="0.3">
      <c r="A6" t="s">
        <v>165</v>
      </c>
      <c r="B6">
        <v>8</v>
      </c>
      <c r="C6" t="s">
        <v>166</v>
      </c>
      <c r="D6" s="12" t="s">
        <v>164</v>
      </c>
    </row>
    <row r="7" spans="1:8" x14ac:dyDescent="0.3">
      <c r="A7" t="s">
        <v>167</v>
      </c>
      <c r="B7">
        <v>5</v>
      </c>
      <c r="C7" t="s">
        <v>168</v>
      </c>
      <c r="D7" s="12" t="s">
        <v>164</v>
      </c>
    </row>
    <row r="8" spans="1:8" x14ac:dyDescent="0.3">
      <c r="A8" t="s">
        <v>169</v>
      </c>
      <c r="B8">
        <v>4</v>
      </c>
      <c r="C8" t="s">
        <v>170</v>
      </c>
      <c r="D8" s="12" t="s">
        <v>164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Data_Dictionary</vt:lpstr>
      <vt:lpstr>RGB_Descriptors</vt:lpstr>
      <vt:lpstr>UV_Texture</vt:lpstr>
      <vt:lpstr>Environment_Context</vt:lpstr>
      <vt:lpstr>Normalized_RGB</vt:lpstr>
      <vt:lpstr>Normalized_UV</vt:lpstr>
      <vt:lpstr>Spearman_Ranks</vt:lpstr>
      <vt:lpstr>Summary_RGB</vt:lpstr>
      <vt:lpstr>Summary_UV</vt:lpstr>
      <vt:lpstr>CrossModal_Spearman</vt:lpstr>
      <vt:lpstr>Quality_Checks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Elvianto Dwi Hartono</cp:lastModifiedBy>
  <dcterms:modified xsi:type="dcterms:W3CDTF">2026-08-15T02:42:25Z</dcterms:modified>
</cp:coreProperties>
</file>